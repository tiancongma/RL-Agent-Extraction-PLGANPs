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formulations" sheetId="1" state="visible" r:id="rId1"/>
    <sheet xmlns:r="http://schemas.openxmlformats.org/officeDocument/2006/relationships" name="dropdown_options" sheetId="2" state="hidden" r:id="rId2"/>
    <sheet xmlns:r="http://schemas.openxmlformats.org/officeDocument/2006/relationships" name="instructions" sheetId="3" state="visible" r:id="rId3"/>
    <sheet xmlns:r="http://schemas.openxmlformats.org/officeDocument/2006/relationships" name="source_summary" sheetId="4" state="visible" r:id="rId4"/>
  </sheets>
  <definedNames>
    <definedName name="_xlnm._FilterDatabase" localSheetId="0" hidden="1">'review_formulations'!$A$1:$M$249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0" borderId="0" applyProtection="1" pivotButton="0" quotePrefix="0" xfId="0">
      <protection locked="0" hidden="0"/>
    </xf>
    <xf numFmtId="0" fontId="2" fillId="0" borderId="0" pivotButton="0" quotePrefix="0" xfId="0"/>
  </cellXfs>
  <cellStyles count="1">
    <cellStyle name="Normal" xfId="0" builtinId="0" hidden="0"/>
  </cellStyles>
  <dxfs count="3">
    <dxf>
      <fill>
        <patternFill patternType="solid">
          <fgColor rgb="00FDE68A"/>
        </patternFill>
      </fill>
    </dxf>
    <dxf>
      <fill>
        <patternFill patternType="solid">
          <fgColor rgb="00FECACA"/>
        </patternFill>
      </fill>
    </dxf>
    <dxf>
      <fill>
        <patternFill patternType="solid">
          <fgColor rgb="00FCA5A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45" customWidth="1" min="3" max="3"/>
    <col width="18" customWidth="1" min="4" max="4"/>
    <col width="28" customWidth="1" min="5" max="5"/>
    <col width="20" customWidth="1" min="6" max="6"/>
    <col width="34" customWidth="1" min="7" max="7"/>
    <col width="16" customWidth="1" min="8" max="8"/>
    <col width="22" customWidth="1" min="9" max="9"/>
    <col width="18" customWidth="1" min="10" max="10"/>
    <col width="28" customWidth="1" min="11" max="11"/>
    <col width="18" customWidth="1" min="12" max="12"/>
    <col width="18" customWidth="1" min="13" max="13"/>
  </cols>
  <sheetData>
    <row r="1">
      <c r="A1" s="1" t="inlineStr">
        <is>
          <t>paper_key</t>
        </is>
      </c>
      <c r="B1" s="1" t="inlineStr">
        <is>
          <t>doi</t>
        </is>
      </c>
      <c r="C1" s="1" t="inlineStr">
        <is>
          <t>paper_title</t>
        </is>
      </c>
      <c r="D1" s="1" t="inlineStr">
        <is>
          <t>formulation_id</t>
        </is>
      </c>
      <c r="E1" s="1" t="inlineStr">
        <is>
          <t>formulation_label_raw</t>
        </is>
      </c>
      <c r="F1" s="1" t="inlineStr">
        <is>
          <t>source_type</t>
        </is>
      </c>
      <c r="G1" s="1" t="inlineStr">
        <is>
          <t>source_locator</t>
        </is>
      </c>
      <c r="H1" s="1" t="inlineStr">
        <is>
          <t>formulation_exists_gt</t>
        </is>
      </c>
      <c r="I1" s="1" t="inlineStr">
        <is>
          <t>formulation_boundary_confidence</t>
        </is>
      </c>
      <c r="J1" s="1" t="inlineStr">
        <is>
          <t>review_status</t>
        </is>
      </c>
      <c r="K1" s="1" t="inlineStr">
        <is>
          <t>notes</t>
        </is>
      </c>
      <c r="L1" s="1" t="inlineStr">
        <is>
          <t>helper_incomplete</t>
        </is>
      </c>
      <c r="M1" s="1" t="inlineStr">
        <is>
          <t>helper_duplicate_id</t>
        </is>
      </c>
    </row>
    <row r="2">
      <c r="A2" t="inlineStr">
        <is>
          <t>5GIF3D8W</t>
        </is>
      </c>
      <c r="B2" t="inlineStr">
        <is>
          <t>10.1080/10717540802174662</t>
        </is>
      </c>
      <c r="C2" s="2" t="inlineStr">
        <is>
          <t>Etoposide-Loaded PLGA and PCL Nanoparticles I: Preparation and Effect of Formulation Variables</t>
        </is>
      </c>
      <c r="D2" t="inlineStr">
        <is>
          <t>1</t>
        </is>
      </c>
      <c r="E2" s="3" t="inlineStr"/>
      <c r="F2" s="4" t="inlineStr">
        <is>
          <t>text_described</t>
        </is>
      </c>
      <c r="G2" s="3" t="inlineStr">
        <is>
          <t>fulltext</t>
        </is>
      </c>
      <c r="H2" s="4" t="inlineStr">
        <is>
          <t>yes</t>
        </is>
      </c>
      <c r="I2" s="4" t="inlineStr">
        <is>
          <t>medium</t>
        </is>
      </c>
      <c r="J2" s="4" t="inlineStr">
        <is>
          <t>pending</t>
        </is>
      </c>
      <c r="K2" s="3" t="inlineStr">
        <is>
          <t>Optimized empty nanoparticles, data from Table 1</t>
        </is>
      </c>
      <c r="L2">
        <f>IF(OR($F2="",$H2="",$I2="",$J2=""),"missing_required","")</f>
        <v/>
      </c>
      <c r="M2">
        <f>IF(COUNTIFS($A:$A,$A2,$D:$D,$D2)&gt;1,"duplicate_id","")</f>
        <v/>
      </c>
    </row>
    <row r="3">
      <c r="A3" t="inlineStr">
        <is>
          <t>5GIF3D8W</t>
        </is>
      </c>
      <c r="B3" t="inlineStr">
        <is>
          <t>10.1080/10717540802174662</t>
        </is>
      </c>
      <c r="C3" s="2" t="inlineStr">
        <is>
          <t>Etoposide-Loaded PLGA and PCL Nanoparticles I: Preparation and Effect of Formulation Variables</t>
        </is>
      </c>
      <c r="D3" t="inlineStr">
        <is>
          <t>10</t>
        </is>
      </c>
      <c r="E3" s="3" t="inlineStr">
        <is>
          <t>Etoposide</t>
        </is>
      </c>
      <c r="F3" s="4" t="inlineStr">
        <is>
          <t>text_described</t>
        </is>
      </c>
      <c r="G3" s="3" t="inlineStr">
        <is>
          <t>fulltext</t>
        </is>
      </c>
      <c r="H3" s="4" t="inlineStr">
        <is>
          <t>yes</t>
        </is>
      </c>
      <c r="I3" s="4" t="inlineStr">
        <is>
          <t>medium</t>
        </is>
      </c>
      <c r="J3" s="4" t="inlineStr">
        <is>
          <t>pending</t>
        </is>
      </c>
      <c r="K3" s="3" t="inlineStr">
        <is>
          <t>Effect of stabilizer concentration study; size estimated from Figure 6A, loading content estimated from Figure 7A</t>
        </is>
      </c>
      <c r="L3">
        <f>IF(OR($F3="",$H3="",$I3="",$J3=""),"missing_required","")</f>
        <v/>
      </c>
      <c r="M3">
        <f>IF(COUNTIFS($A:$A,$A3,$D:$D,$D3)&gt;1,"duplicate_id","")</f>
        <v/>
      </c>
    </row>
    <row r="4">
      <c r="A4" t="inlineStr">
        <is>
          <t>5GIF3D8W</t>
        </is>
      </c>
      <c r="B4" t="inlineStr">
        <is>
          <t>10.1080/10717540802174662</t>
        </is>
      </c>
      <c r="C4" s="2" t="inlineStr">
        <is>
          <t>Etoposide-Loaded PLGA and PCL Nanoparticles I: Preparation and Effect of Formulation Variables</t>
        </is>
      </c>
      <c r="D4" t="inlineStr">
        <is>
          <t>11</t>
        </is>
      </c>
      <c r="E4" s="3" t="inlineStr">
        <is>
          <t>Etoposide</t>
        </is>
      </c>
      <c r="F4" s="4" t="inlineStr">
        <is>
          <t>text_described</t>
        </is>
      </c>
      <c r="G4" s="3" t="inlineStr">
        <is>
          <t>fulltext</t>
        </is>
      </c>
      <c r="H4" s="4" t="inlineStr">
        <is>
          <t>yes</t>
        </is>
      </c>
      <c r="I4" s="4" t="inlineStr">
        <is>
          <t>medium</t>
        </is>
      </c>
      <c r="J4" s="4" t="inlineStr">
        <is>
          <t>pending</t>
        </is>
      </c>
      <c r="K4" s="3" t="inlineStr">
        <is>
          <t>Effect of stabilizer concentration study; size estimated from Figure 6A, loading content estimated from Figure 7A</t>
        </is>
      </c>
      <c r="L4">
        <f>IF(OR($F4="",$H4="",$I4="",$J4=""),"missing_required","")</f>
        <v/>
      </c>
      <c r="M4">
        <f>IF(COUNTIFS($A:$A,$A4,$D:$D,$D4)&gt;1,"duplicate_id","")</f>
        <v/>
      </c>
    </row>
    <row r="5">
      <c r="A5" t="inlineStr">
        <is>
          <t>5GIF3D8W</t>
        </is>
      </c>
      <c r="B5" t="inlineStr">
        <is>
          <t>10.1080/10717540802174662</t>
        </is>
      </c>
      <c r="C5" s="2" t="inlineStr">
        <is>
          <t>Etoposide-Loaded PLGA and PCL Nanoparticles I: Preparation and Effect of Formulation Variables</t>
        </is>
      </c>
      <c r="D5" t="inlineStr">
        <is>
          <t>12</t>
        </is>
      </c>
      <c r="E5" s="3" t="inlineStr">
        <is>
          <t>Etoposide</t>
        </is>
      </c>
      <c r="F5" s="4" t="inlineStr">
        <is>
          <t>text_described</t>
        </is>
      </c>
      <c r="G5" s="3" t="inlineStr">
        <is>
          <t>fulltext</t>
        </is>
      </c>
      <c r="H5" s="4" t="inlineStr">
        <is>
          <t>yes</t>
        </is>
      </c>
      <c r="I5" s="4" t="inlineStr">
        <is>
          <t>medium</t>
        </is>
      </c>
      <c r="J5" s="4" t="inlineStr">
        <is>
          <t>pending</t>
        </is>
      </c>
      <c r="K5" s="3" t="inlineStr">
        <is>
          <t>Effect of stabilizer concentration study; size estimated from Figure 6B, loading content estimated from Figure 7B</t>
        </is>
      </c>
      <c r="L5">
        <f>IF(OR($F5="",$H5="",$I5="",$J5=""),"missing_required","")</f>
        <v/>
      </c>
      <c r="M5">
        <f>IF(COUNTIFS($A:$A,$A5,$D:$D,$D5)&gt;1,"duplicate_id","")</f>
        <v/>
      </c>
    </row>
    <row r="6">
      <c r="A6" t="inlineStr">
        <is>
          <t>5GIF3D8W</t>
        </is>
      </c>
      <c r="B6" t="inlineStr">
        <is>
          <t>10.1080/10717540802174662</t>
        </is>
      </c>
      <c r="C6" s="2" t="inlineStr">
        <is>
          <t>Etoposide-Loaded PLGA and PCL Nanoparticles I: Preparation and Effect of Formulation Variables</t>
        </is>
      </c>
      <c r="D6" t="inlineStr">
        <is>
          <t>13</t>
        </is>
      </c>
      <c r="E6" s="3" t="inlineStr">
        <is>
          <t>Etoposide</t>
        </is>
      </c>
      <c r="F6" s="4" t="inlineStr">
        <is>
          <t>text_described</t>
        </is>
      </c>
      <c r="G6" s="3" t="inlineStr">
        <is>
          <t>fulltext</t>
        </is>
      </c>
      <c r="H6" s="4" t="inlineStr">
        <is>
          <t>yes</t>
        </is>
      </c>
      <c r="I6" s="4" t="inlineStr">
        <is>
          <t>medium</t>
        </is>
      </c>
      <c r="J6" s="4" t="inlineStr">
        <is>
          <t>pending</t>
        </is>
      </c>
      <c r="K6" s="3" t="inlineStr">
        <is>
          <t>Effect of stabilizer concentration study; size estimated from Figure 6B, loading content estimated from Figure 7B</t>
        </is>
      </c>
      <c r="L6">
        <f>IF(OR($F6="",$H6="",$I6="",$J6=""),"missing_required","")</f>
        <v/>
      </c>
      <c r="M6">
        <f>IF(COUNTIFS($A:$A,$A6,$D:$D,$D6)&gt;1,"duplicate_id","")</f>
        <v/>
      </c>
    </row>
    <row r="7">
      <c r="A7" t="inlineStr">
        <is>
          <t>5GIF3D8W</t>
        </is>
      </c>
      <c r="B7" t="inlineStr">
        <is>
          <t>10.1080/10717540802174662</t>
        </is>
      </c>
      <c r="C7" s="2" t="inlineStr">
        <is>
          <t>Etoposide-Loaded PLGA and PCL Nanoparticles I: Preparation and Effect of Formulation Variables</t>
        </is>
      </c>
      <c r="D7" t="inlineStr">
        <is>
          <t>14</t>
        </is>
      </c>
      <c r="E7" s="3" t="inlineStr">
        <is>
          <t>Etoposide</t>
        </is>
      </c>
      <c r="F7" s="4" t="inlineStr">
        <is>
          <t>text_described</t>
        </is>
      </c>
      <c r="G7" s="3" t="inlineStr">
        <is>
          <t>fulltext</t>
        </is>
      </c>
      <c r="H7" s="4" t="inlineStr">
        <is>
          <t>yes</t>
        </is>
      </c>
      <c r="I7" s="4" t="inlineStr">
        <is>
          <t>medium</t>
        </is>
      </c>
      <c r="J7" s="4" t="inlineStr">
        <is>
          <t>pending</t>
        </is>
      </c>
      <c r="K7" s="3" t="inlineStr">
        <is>
          <t>Effect of stabilizer concentration study; size estimated from Figure 6B, loading content estimated from Figure 7B</t>
        </is>
      </c>
      <c r="L7">
        <f>IF(OR($F7="",$H7="",$I7="",$J7=""),"missing_required","")</f>
        <v/>
      </c>
      <c r="M7">
        <f>IF(COUNTIFS($A:$A,$A7,$D:$D,$D7)&gt;1,"duplicate_id","")</f>
        <v/>
      </c>
    </row>
    <row r="8">
      <c r="A8" t="inlineStr">
        <is>
          <t>5GIF3D8W</t>
        </is>
      </c>
      <c r="B8" t="inlineStr">
        <is>
          <t>10.1080/10717540802174662</t>
        </is>
      </c>
      <c r="C8" s="2" t="inlineStr">
        <is>
          <t>Etoposide-Loaded PLGA and PCL Nanoparticles I: Preparation and Effect of Formulation Variables</t>
        </is>
      </c>
      <c r="D8" t="inlineStr">
        <is>
          <t>15</t>
        </is>
      </c>
      <c r="E8" s="3" t="inlineStr">
        <is>
          <t>Etoposide</t>
        </is>
      </c>
      <c r="F8" s="4" t="inlineStr">
        <is>
          <t>text_described</t>
        </is>
      </c>
      <c r="G8" s="3" t="inlineStr">
        <is>
          <t>fulltext</t>
        </is>
      </c>
      <c r="H8" s="4" t="inlineStr">
        <is>
          <t>yes</t>
        </is>
      </c>
      <c r="I8" s="4" t="inlineStr">
        <is>
          <t>medium</t>
        </is>
      </c>
      <c r="J8" s="4" t="inlineStr">
        <is>
          <t>pending</t>
        </is>
      </c>
      <c r="K8" s="3" t="inlineStr">
        <is>
          <t>Effect of stabilizer concentration study; size estimated from Figure 6C, loading content estimated from Figure 7C</t>
        </is>
      </c>
      <c r="L8">
        <f>IF(OR($F8="",$H8="",$I8="",$J8=""),"missing_required","")</f>
        <v/>
      </c>
      <c r="M8">
        <f>IF(COUNTIFS($A:$A,$A8,$D:$D,$D8)&gt;1,"duplicate_id","")</f>
        <v/>
      </c>
    </row>
    <row r="9">
      <c r="A9" t="inlineStr">
        <is>
          <t>5GIF3D8W</t>
        </is>
      </c>
      <c r="B9" t="inlineStr">
        <is>
          <t>10.1080/10717540802174662</t>
        </is>
      </c>
      <c r="C9" s="2" t="inlineStr">
        <is>
          <t>Etoposide-Loaded PLGA and PCL Nanoparticles I: Preparation and Effect of Formulation Variables</t>
        </is>
      </c>
      <c r="D9" t="inlineStr">
        <is>
          <t>16</t>
        </is>
      </c>
      <c r="E9" s="3" t="inlineStr">
        <is>
          <t>Etoposide</t>
        </is>
      </c>
      <c r="F9" s="4" t="inlineStr">
        <is>
          <t>text_described</t>
        </is>
      </c>
      <c r="G9" s="3" t="inlineStr">
        <is>
          <t>fulltext</t>
        </is>
      </c>
      <c r="H9" s="4" t="inlineStr">
        <is>
          <t>yes</t>
        </is>
      </c>
      <c r="I9" s="4" t="inlineStr">
        <is>
          <t>medium</t>
        </is>
      </c>
      <c r="J9" s="4" t="inlineStr">
        <is>
          <t>pending</t>
        </is>
      </c>
      <c r="K9" s="3" t="inlineStr">
        <is>
          <t>Effect of stabilizer concentration study; size estimated from Figure 6C, loading content estimated from Figure 7C</t>
        </is>
      </c>
      <c r="L9">
        <f>IF(OR($F9="",$H9="",$I9="",$J9=""),"missing_required","")</f>
        <v/>
      </c>
      <c r="M9">
        <f>IF(COUNTIFS($A:$A,$A9,$D:$D,$D9)&gt;1,"duplicate_id","")</f>
        <v/>
      </c>
    </row>
    <row r="10">
      <c r="A10" t="inlineStr">
        <is>
          <t>5GIF3D8W</t>
        </is>
      </c>
      <c r="B10" t="inlineStr">
        <is>
          <t>10.1080/10717540802174662</t>
        </is>
      </c>
      <c r="C10" s="2" t="inlineStr">
        <is>
          <t>Etoposide-Loaded PLGA and PCL Nanoparticles I: Preparation and Effect of Formulation Variables</t>
        </is>
      </c>
      <c r="D10" t="inlineStr">
        <is>
          <t>17</t>
        </is>
      </c>
      <c r="E10" s="3" t="inlineStr">
        <is>
          <t>Etoposide</t>
        </is>
      </c>
      <c r="F10" s="4" t="inlineStr">
        <is>
          <t>text_described</t>
        </is>
      </c>
      <c r="G10" s="3" t="inlineStr">
        <is>
          <t>fulltext</t>
        </is>
      </c>
      <c r="H10" s="4" t="inlineStr">
        <is>
          <t>yes</t>
        </is>
      </c>
      <c r="I10" s="4" t="inlineStr">
        <is>
          <t>medium</t>
        </is>
      </c>
      <c r="J10" s="4" t="inlineStr">
        <is>
          <t>pending</t>
        </is>
      </c>
      <c r="K10" s="3" t="inlineStr">
        <is>
          <t>Effect of stabilizer concentration study; size estimated from Figure 6C, loading content estimated from Figure 7C</t>
        </is>
      </c>
      <c r="L10">
        <f>IF(OR($F10="",$H10="",$I10="",$J10=""),"missing_required","")</f>
        <v/>
      </c>
      <c r="M10">
        <f>IF(COUNTIFS($A:$A,$A10,$D:$D,$D10)&gt;1,"duplicate_id","")</f>
        <v/>
      </c>
    </row>
    <row r="11">
      <c r="A11" t="inlineStr">
        <is>
          <t>5GIF3D8W</t>
        </is>
      </c>
      <c r="B11" t="inlineStr">
        <is>
          <t>10.1080/10717540802174662</t>
        </is>
      </c>
      <c r="C11" s="2" t="inlineStr">
        <is>
          <t>Etoposide-Loaded PLGA and PCL Nanoparticles I: Preparation and Effect of Formulation Variables</t>
        </is>
      </c>
      <c r="D11" t="inlineStr">
        <is>
          <t>18</t>
        </is>
      </c>
      <c r="E11" s="3" t="inlineStr">
        <is>
          <t>Etoposide</t>
        </is>
      </c>
      <c r="F11" s="4" t="inlineStr">
        <is>
          <t>text_described</t>
        </is>
      </c>
      <c r="G11" s="3" t="inlineStr">
        <is>
          <t>fulltext</t>
        </is>
      </c>
      <c r="H11" s="4" t="inlineStr">
        <is>
          <t>yes</t>
        </is>
      </c>
      <c r="I11" s="4" t="inlineStr">
        <is>
          <t>medium</t>
        </is>
      </c>
      <c r="J11" s="4" t="inlineStr">
        <is>
          <t>pending</t>
        </is>
      </c>
      <c r="K11" s="3" t="inlineStr">
        <is>
          <t>PCL nanoparticles, effect of stabilizer concentration study; size estimated from Figure 6D, loading content estimated from Figure 7D</t>
        </is>
      </c>
      <c r="L11">
        <f>IF(OR($F11="",$H11="",$I11="",$J11=""),"missing_required","")</f>
        <v/>
      </c>
      <c r="M11">
        <f>IF(COUNTIFS($A:$A,$A11,$D:$D,$D11)&gt;1,"duplicate_id","")</f>
        <v/>
      </c>
    </row>
    <row r="12">
      <c r="A12" t="inlineStr">
        <is>
          <t>5GIF3D8W</t>
        </is>
      </c>
      <c r="B12" t="inlineStr">
        <is>
          <t>10.1080/10717540802174662</t>
        </is>
      </c>
      <c r="C12" s="2" t="inlineStr">
        <is>
          <t>Etoposide-Loaded PLGA and PCL Nanoparticles I: Preparation and Effect of Formulation Variables</t>
        </is>
      </c>
      <c r="D12" t="inlineStr">
        <is>
          <t>19</t>
        </is>
      </c>
      <c r="E12" s="3" t="inlineStr">
        <is>
          <t>Etoposide</t>
        </is>
      </c>
      <c r="F12" s="4" t="inlineStr">
        <is>
          <t>text_described</t>
        </is>
      </c>
      <c r="G12" s="3" t="inlineStr">
        <is>
          <t>fulltext</t>
        </is>
      </c>
      <c r="H12" s="4" t="inlineStr">
        <is>
          <t>yes</t>
        </is>
      </c>
      <c r="I12" s="4" t="inlineStr">
        <is>
          <t>medium</t>
        </is>
      </c>
      <c r="J12" s="4" t="inlineStr">
        <is>
          <t>pending</t>
        </is>
      </c>
      <c r="K12" s="3" t="inlineStr">
        <is>
          <t>PCL nanoparticles, effect of stabilizer concentration study; size estimated from Figure 6D, loading content estimated from Figure 7D</t>
        </is>
      </c>
      <c r="L12">
        <f>IF(OR($F12="",$H12="",$I12="",$J12=""),"missing_required","")</f>
        <v/>
      </c>
      <c r="M12">
        <f>IF(COUNTIFS($A:$A,$A12,$D:$D,$D12)&gt;1,"duplicate_id","")</f>
        <v/>
      </c>
    </row>
    <row r="13">
      <c r="A13" t="inlineStr">
        <is>
          <t>5GIF3D8W</t>
        </is>
      </c>
      <c r="B13" t="inlineStr">
        <is>
          <t>10.1080/10717540802174662</t>
        </is>
      </c>
      <c r="C13" s="2" t="inlineStr">
        <is>
          <t>Etoposide-Loaded PLGA and PCL Nanoparticles I: Preparation and Effect of Formulation Variables</t>
        </is>
      </c>
      <c r="D13" t="inlineStr">
        <is>
          <t>2</t>
        </is>
      </c>
      <c r="E13" s="3" t="inlineStr">
        <is>
          <t>Etoposide</t>
        </is>
      </c>
      <c r="F13" s="4" t="inlineStr">
        <is>
          <t>text_described</t>
        </is>
      </c>
      <c r="G13" s="3" t="inlineStr">
        <is>
          <t>fulltext</t>
        </is>
      </c>
      <c r="H13" s="4" t="inlineStr">
        <is>
          <t>yes</t>
        </is>
      </c>
      <c r="I13" s="4" t="inlineStr">
        <is>
          <t>medium</t>
        </is>
      </c>
      <c r="J13" s="4" t="inlineStr">
        <is>
          <t>pending</t>
        </is>
      </c>
      <c r="K13" s="3" t="inlineStr">
        <is>
          <t>Optimized drug-loaded nanoparticles, data from Table 1</t>
        </is>
      </c>
      <c r="L13">
        <f>IF(OR($F13="",$H13="",$I13="",$J13=""),"missing_required","")</f>
        <v/>
      </c>
      <c r="M13">
        <f>IF(COUNTIFS($A:$A,$A13,$D:$D,$D13)&gt;1,"duplicate_id","")</f>
        <v/>
      </c>
    </row>
    <row r="14">
      <c r="A14" t="inlineStr">
        <is>
          <t>5GIF3D8W</t>
        </is>
      </c>
      <c r="B14" t="inlineStr">
        <is>
          <t>10.1080/10717540802174662</t>
        </is>
      </c>
      <c r="C14" s="2" t="inlineStr">
        <is>
          <t>Etoposide-Loaded PLGA and PCL Nanoparticles I: Preparation and Effect of Formulation Variables</t>
        </is>
      </c>
      <c r="D14" t="inlineStr">
        <is>
          <t>20</t>
        </is>
      </c>
      <c r="E14" s="3" t="inlineStr">
        <is>
          <t>Etoposide</t>
        </is>
      </c>
      <c r="F14" s="4" t="inlineStr">
        <is>
          <t>text_described</t>
        </is>
      </c>
      <c r="G14" s="3" t="inlineStr">
        <is>
          <t>fulltext</t>
        </is>
      </c>
      <c r="H14" s="4" t="inlineStr">
        <is>
          <t>yes</t>
        </is>
      </c>
      <c r="I14" s="4" t="inlineStr">
        <is>
          <t>medium</t>
        </is>
      </c>
      <c r="J14" s="4" t="inlineStr">
        <is>
          <t>pending</t>
        </is>
      </c>
      <c r="K14" s="3" t="inlineStr">
        <is>
          <t>PCL nanoparticles, effect of stabilizer concentration study; size estimated from Figure 6D, loading content estimated from Figure 7D</t>
        </is>
      </c>
      <c r="L14">
        <f>IF(OR($F14="",$H14="",$I14="",$J14=""),"missing_required","")</f>
        <v/>
      </c>
      <c r="M14">
        <f>IF(COUNTIFS($A:$A,$A14,$D:$D,$D14)&gt;1,"duplicate_id","")</f>
        <v/>
      </c>
    </row>
    <row r="15">
      <c r="A15" t="inlineStr">
        <is>
          <t>5GIF3D8W</t>
        </is>
      </c>
      <c r="B15" t="inlineStr">
        <is>
          <t>10.1080/10717540802174662</t>
        </is>
      </c>
      <c r="C15" s="2" t="inlineStr">
        <is>
          <t>Etoposide-Loaded PLGA and PCL Nanoparticles I: Preparation and Effect of Formulation Variables</t>
        </is>
      </c>
      <c r="D15" t="inlineStr">
        <is>
          <t>21</t>
        </is>
      </c>
      <c r="E15" s="3" t="inlineStr">
        <is>
          <t>Etoposide</t>
        </is>
      </c>
      <c r="F15" s="4" t="inlineStr">
        <is>
          <t>text_described</t>
        </is>
      </c>
      <c r="G15" s="3" t="inlineStr">
        <is>
          <t>fulltext</t>
        </is>
      </c>
      <c r="H15" s="4" t="inlineStr">
        <is>
          <t>yes</t>
        </is>
      </c>
      <c r="I15" s="4" t="inlineStr">
        <is>
          <t>medium</t>
        </is>
      </c>
      <c r="J15" s="4" t="inlineStr">
        <is>
          <t>pending</t>
        </is>
      </c>
      <c r="K15" s="3" t="inlineStr">
        <is>
          <t>Effect of polymer content study; no specific size given for 25mg polymer, but implied to be similar to 50mg</t>
        </is>
      </c>
      <c r="L15">
        <f>IF(OR($F15="",$H15="",$I15="",$J15=""),"missing_required","")</f>
        <v/>
      </c>
      <c r="M15">
        <f>IF(COUNTIFS($A:$A,$A15,$D:$D,$D15)&gt;1,"duplicate_id","")</f>
        <v/>
      </c>
    </row>
    <row r="16">
      <c r="A16" t="inlineStr">
        <is>
          <t>5GIF3D8W</t>
        </is>
      </c>
      <c r="B16" t="inlineStr">
        <is>
          <t>10.1080/10717540802174662</t>
        </is>
      </c>
      <c r="C16" s="2" t="inlineStr">
        <is>
          <t>Etoposide-Loaded PLGA and PCL Nanoparticles I: Preparation and Effect of Formulation Variables</t>
        </is>
      </c>
      <c r="D16" t="inlineStr">
        <is>
          <t>22</t>
        </is>
      </c>
      <c r="E16" s="3" t="inlineStr">
        <is>
          <t>Etoposide</t>
        </is>
      </c>
      <c r="F16" s="4" t="inlineStr">
        <is>
          <t>text_described</t>
        </is>
      </c>
      <c r="G16" s="3" t="inlineStr">
        <is>
          <t>fulltext</t>
        </is>
      </c>
      <c r="H16" s="4" t="inlineStr">
        <is>
          <t>yes</t>
        </is>
      </c>
      <c r="I16" s="4" t="inlineStr">
        <is>
          <t>medium</t>
        </is>
      </c>
      <c r="J16" s="4" t="inlineStr">
        <is>
          <t>pending</t>
        </is>
      </c>
      <c r="K16" s="3" t="inlineStr">
        <is>
          <t>Effect of polymer content study</t>
        </is>
      </c>
      <c r="L16">
        <f>IF(OR($F16="",$H16="",$I16="",$J16=""),"missing_required","")</f>
        <v/>
      </c>
      <c r="M16">
        <f>IF(COUNTIFS($A:$A,$A16,$D:$D,$D16)&gt;1,"duplicate_id","")</f>
        <v/>
      </c>
    </row>
    <row r="17">
      <c r="A17" t="inlineStr">
        <is>
          <t>5GIF3D8W</t>
        </is>
      </c>
      <c r="B17" t="inlineStr">
        <is>
          <t>10.1080/10717540802174662</t>
        </is>
      </c>
      <c r="C17" s="2" t="inlineStr">
        <is>
          <t>Etoposide-Loaded PLGA and PCL Nanoparticles I: Preparation and Effect of Formulation Variables</t>
        </is>
      </c>
      <c r="D17" t="inlineStr">
        <is>
          <t>23</t>
        </is>
      </c>
      <c r="E17" s="3" t="inlineStr">
        <is>
          <t>Etoposide</t>
        </is>
      </c>
      <c r="F17" s="4" t="inlineStr">
        <is>
          <t>text_described</t>
        </is>
      </c>
      <c r="G17" s="3" t="inlineStr">
        <is>
          <t>fulltext</t>
        </is>
      </c>
      <c r="H17" s="4" t="inlineStr">
        <is>
          <t>yes</t>
        </is>
      </c>
      <c r="I17" s="4" t="inlineStr">
        <is>
          <t>medium</t>
        </is>
      </c>
      <c r="J17" s="4" t="inlineStr">
        <is>
          <t>pending</t>
        </is>
      </c>
      <c r="K17" s="3" t="inlineStr">
        <is>
          <t>Effect of polymer content study</t>
        </is>
      </c>
      <c r="L17">
        <f>IF(OR($F17="",$H17="",$I17="",$J17=""),"missing_required","")</f>
        <v/>
      </c>
      <c r="M17">
        <f>IF(COUNTIFS($A:$A,$A17,$D:$D,$D17)&gt;1,"duplicate_id","")</f>
        <v/>
      </c>
    </row>
    <row r="18">
      <c r="A18" t="inlineStr">
        <is>
          <t>5GIF3D8W</t>
        </is>
      </c>
      <c r="B18" t="inlineStr">
        <is>
          <t>10.1080/10717540802174662</t>
        </is>
      </c>
      <c r="C18" s="2" t="inlineStr">
        <is>
          <t>Etoposide-Loaded PLGA and PCL Nanoparticles I: Preparation and Effect of Formulation Variables</t>
        </is>
      </c>
      <c r="D18" t="inlineStr">
        <is>
          <t>24</t>
        </is>
      </c>
      <c r="E18" s="3" t="inlineStr">
        <is>
          <t>Etoposide</t>
        </is>
      </c>
      <c r="F18" s="4" t="inlineStr">
        <is>
          <t>text_described</t>
        </is>
      </c>
      <c r="G18" s="3" t="inlineStr">
        <is>
          <t>fulltext</t>
        </is>
      </c>
      <c r="H18" s="4" t="inlineStr">
        <is>
          <t>yes</t>
        </is>
      </c>
      <c r="I18" s="4" t="inlineStr">
        <is>
          <t>medium</t>
        </is>
      </c>
      <c r="J18" s="4" t="inlineStr">
        <is>
          <t>pending</t>
        </is>
      </c>
      <c r="K18" s="3" t="inlineStr">
        <is>
          <t>PCL nanoparticles, effect of polymer content study; no specific size given for 25mg polymer, but implied to be similar to 50mg</t>
        </is>
      </c>
      <c r="L18">
        <f>IF(OR($F18="",$H18="",$I18="",$J18=""),"missing_required","")</f>
        <v/>
      </c>
      <c r="M18">
        <f>IF(COUNTIFS($A:$A,$A18,$D:$D,$D18)&gt;1,"duplicate_id","")</f>
        <v/>
      </c>
    </row>
    <row r="19">
      <c r="A19" t="inlineStr">
        <is>
          <t>5GIF3D8W</t>
        </is>
      </c>
      <c r="B19" t="inlineStr">
        <is>
          <t>10.1080/10717540802174662</t>
        </is>
      </c>
      <c r="C19" s="2" t="inlineStr">
        <is>
          <t>Etoposide-Loaded PLGA and PCL Nanoparticles I: Preparation and Effect of Formulation Variables</t>
        </is>
      </c>
      <c r="D19" t="inlineStr">
        <is>
          <t>25</t>
        </is>
      </c>
      <c r="E19" s="3" t="inlineStr">
        <is>
          <t>Etoposide</t>
        </is>
      </c>
      <c r="F19" s="4" t="inlineStr">
        <is>
          <t>text_described</t>
        </is>
      </c>
      <c r="G19" s="3" t="inlineStr">
        <is>
          <t>fulltext</t>
        </is>
      </c>
      <c r="H19" s="4" t="inlineStr">
        <is>
          <t>yes</t>
        </is>
      </c>
      <c r="I19" s="4" t="inlineStr">
        <is>
          <t>medium</t>
        </is>
      </c>
      <c r="J19" s="4" t="inlineStr">
        <is>
          <t>pending</t>
        </is>
      </c>
      <c r="K19" s="3" t="inlineStr">
        <is>
          <t>PCL nanoparticles, effect of polymer content study; agglomeration started, EE and drug content not determined</t>
        </is>
      </c>
      <c r="L19">
        <f>IF(OR($F19="",$H19="",$I19="",$J19=""),"missing_required","")</f>
        <v/>
      </c>
      <c r="M19">
        <f>IF(COUNTIFS($A:$A,$A19,$D:$D,$D19)&gt;1,"duplicate_id","")</f>
        <v/>
      </c>
    </row>
    <row r="20">
      <c r="A20" t="inlineStr">
        <is>
          <t>5GIF3D8W</t>
        </is>
      </c>
      <c r="B20" t="inlineStr">
        <is>
          <t>10.1080/10717540802174662</t>
        </is>
      </c>
      <c r="C20" s="2" t="inlineStr">
        <is>
          <t>Etoposide-Loaded PLGA and PCL Nanoparticles I: Preparation and Effect of Formulation Variables</t>
        </is>
      </c>
      <c r="D20" t="inlineStr">
        <is>
          <t>26</t>
        </is>
      </c>
      <c r="E20" s="3" t="inlineStr">
        <is>
          <t>Etoposide</t>
        </is>
      </c>
      <c r="F20" s="4" t="inlineStr">
        <is>
          <t>text_described</t>
        </is>
      </c>
      <c r="G20" s="3" t="inlineStr">
        <is>
          <t>fulltext</t>
        </is>
      </c>
      <c r="H20" s="4" t="inlineStr">
        <is>
          <t>yes</t>
        </is>
      </c>
      <c r="I20" s="4" t="inlineStr">
        <is>
          <t>medium</t>
        </is>
      </c>
      <c r="J20" s="4" t="inlineStr">
        <is>
          <t>pending</t>
        </is>
      </c>
      <c r="K20" s="3" t="inlineStr">
        <is>
          <t>PCL nanoparticles, effect of polymer content study; very high agglomeration/precipitation, EE and drug content not determined</t>
        </is>
      </c>
      <c r="L20">
        <f>IF(OR($F20="",$H20="",$I20="",$J20=""),"missing_required","")</f>
        <v/>
      </c>
      <c r="M20">
        <f>IF(COUNTIFS($A:$A,$A20,$D:$D,$D20)&gt;1,"duplicate_id","")</f>
        <v/>
      </c>
    </row>
    <row r="21">
      <c r="A21" t="inlineStr">
        <is>
          <t>5GIF3D8W</t>
        </is>
      </c>
      <c r="B21" t="inlineStr">
        <is>
          <t>10.1080/10717540802174662</t>
        </is>
      </c>
      <c r="C21" s="2" t="inlineStr">
        <is>
          <t>Etoposide-Loaded PLGA and PCL Nanoparticles I: Preparation and Effect of Formulation Variables</t>
        </is>
      </c>
      <c r="D21" t="inlineStr">
        <is>
          <t>27</t>
        </is>
      </c>
      <c r="E21" s="3" t="inlineStr">
        <is>
          <t>Etoposide</t>
        </is>
      </c>
      <c r="F21" s="4" t="inlineStr">
        <is>
          <t>text_described</t>
        </is>
      </c>
      <c r="G21" s="3" t="inlineStr">
        <is>
          <t>fulltext</t>
        </is>
      </c>
      <c r="H21" s="4" t="inlineStr">
        <is>
          <t>yes</t>
        </is>
      </c>
      <c r="I21" s="4" t="inlineStr">
        <is>
          <t>medium</t>
        </is>
      </c>
      <c r="J21" s="4" t="inlineStr">
        <is>
          <t>pending</t>
        </is>
      </c>
      <c r="K21" s="3" t="inlineStr">
        <is>
          <t>Effect of drug amount study</t>
        </is>
      </c>
      <c r="L21">
        <f>IF(OR($F21="",$H21="",$I21="",$J21=""),"missing_required","")</f>
        <v/>
      </c>
      <c r="M21">
        <f>IF(COUNTIFS($A:$A,$A21,$D:$D,$D21)&gt;1,"duplicate_id","")</f>
        <v/>
      </c>
    </row>
    <row r="22">
      <c r="A22" t="inlineStr">
        <is>
          <t>5GIF3D8W</t>
        </is>
      </c>
      <c r="B22" t="inlineStr">
        <is>
          <t>10.1080/10717540802174662</t>
        </is>
      </c>
      <c r="C22" s="2" t="inlineStr">
        <is>
          <t>Etoposide-Loaded PLGA and PCL Nanoparticles I: Preparation and Effect of Formulation Variables</t>
        </is>
      </c>
      <c r="D22" t="inlineStr">
        <is>
          <t>28</t>
        </is>
      </c>
      <c r="E22" s="3" t="inlineStr">
        <is>
          <t>Etoposide</t>
        </is>
      </c>
      <c r="F22" s="4" t="inlineStr">
        <is>
          <t>text_described</t>
        </is>
      </c>
      <c r="G22" s="3" t="inlineStr">
        <is>
          <t>fulltext</t>
        </is>
      </c>
      <c r="H22" s="4" t="inlineStr">
        <is>
          <t>yes</t>
        </is>
      </c>
      <c r="I22" s="4" t="inlineStr">
        <is>
          <t>medium</t>
        </is>
      </c>
      <c r="J22" s="4" t="inlineStr">
        <is>
          <t>pending</t>
        </is>
      </c>
      <c r="K22" s="3" t="inlineStr">
        <is>
          <t>Effect of drug amount study</t>
        </is>
      </c>
      <c r="L22">
        <f>IF(OR($F22="",$H22="",$I22="",$J22=""),"missing_required","")</f>
        <v/>
      </c>
      <c r="M22">
        <f>IF(COUNTIFS($A:$A,$A22,$D:$D,$D22)&gt;1,"duplicate_id","")</f>
        <v/>
      </c>
    </row>
    <row r="23">
      <c r="A23" t="inlineStr">
        <is>
          <t>5GIF3D8W</t>
        </is>
      </c>
      <c r="B23" t="inlineStr">
        <is>
          <t>10.1080/10717540802174662</t>
        </is>
      </c>
      <c r="C23" s="2" t="inlineStr">
        <is>
          <t>Etoposide-Loaded PLGA and PCL Nanoparticles I: Preparation and Effect of Formulation Variables</t>
        </is>
      </c>
      <c r="D23" t="inlineStr">
        <is>
          <t>29</t>
        </is>
      </c>
      <c r="E23" s="3" t="inlineStr">
        <is>
          <t>Etoposide</t>
        </is>
      </c>
      <c r="F23" s="4" t="inlineStr">
        <is>
          <t>text_described</t>
        </is>
      </c>
      <c r="G23" s="3" t="inlineStr">
        <is>
          <t>fulltext</t>
        </is>
      </c>
      <c r="H23" s="4" t="inlineStr">
        <is>
          <t>yes</t>
        </is>
      </c>
      <c r="I23" s="4" t="inlineStr">
        <is>
          <t>medium</t>
        </is>
      </c>
      <c r="J23" s="4" t="inlineStr">
        <is>
          <t>pending</t>
        </is>
      </c>
      <c r="K23" s="3" t="inlineStr">
        <is>
          <t>Effect of drug amount study; no specific size or EE values given for 20mg drug feed</t>
        </is>
      </c>
      <c r="L23">
        <f>IF(OR($F23="",$H23="",$I23="",$J23=""),"missing_required","")</f>
        <v/>
      </c>
      <c r="M23">
        <f>IF(COUNTIFS($A:$A,$A23,$D:$D,$D23)&gt;1,"duplicate_id","")</f>
        <v/>
      </c>
    </row>
    <row r="24">
      <c r="A24" t="inlineStr">
        <is>
          <t>5GIF3D8W</t>
        </is>
      </c>
      <c r="B24" t="inlineStr">
        <is>
          <t>10.1080/10717540802174662</t>
        </is>
      </c>
      <c r="C24" s="2" t="inlineStr">
        <is>
          <t>Etoposide-Loaded PLGA and PCL Nanoparticles I: Preparation and Effect of Formulation Variables</t>
        </is>
      </c>
      <c r="D24" t="inlineStr">
        <is>
          <t>3</t>
        </is>
      </c>
      <c r="E24" s="3" t="inlineStr"/>
      <c r="F24" s="4" t="inlineStr">
        <is>
          <t>text_described</t>
        </is>
      </c>
      <c r="G24" s="3" t="inlineStr">
        <is>
          <t>fulltext</t>
        </is>
      </c>
      <c r="H24" s="4" t="inlineStr">
        <is>
          <t>yes</t>
        </is>
      </c>
      <c r="I24" s="4" t="inlineStr">
        <is>
          <t>medium</t>
        </is>
      </c>
      <c r="J24" s="4" t="inlineStr">
        <is>
          <t>pending</t>
        </is>
      </c>
      <c r="K24" s="3" t="inlineStr">
        <is>
          <t>Optimized empty nanoparticles, data from Table 1</t>
        </is>
      </c>
      <c r="L24">
        <f>IF(OR($F24="",$H24="",$I24="",$J24=""),"missing_required","")</f>
        <v/>
      </c>
      <c r="M24">
        <f>IF(COUNTIFS($A:$A,$A24,$D:$D,$D24)&gt;1,"duplicate_id","")</f>
        <v/>
      </c>
    </row>
    <row r="25">
      <c r="A25" t="inlineStr">
        <is>
          <t>5GIF3D8W</t>
        </is>
      </c>
      <c r="B25" t="inlineStr">
        <is>
          <t>10.1080/10717540802174662</t>
        </is>
      </c>
      <c r="C25" s="2" t="inlineStr">
        <is>
          <t>Etoposide-Loaded PLGA and PCL Nanoparticles I: Preparation and Effect of Formulation Variables</t>
        </is>
      </c>
      <c r="D25" t="inlineStr">
        <is>
          <t>30</t>
        </is>
      </c>
      <c r="E25" s="3" t="inlineStr">
        <is>
          <t>Etoposide</t>
        </is>
      </c>
      <c r="F25" s="4" t="inlineStr">
        <is>
          <t>text_described</t>
        </is>
      </c>
      <c r="G25" s="3" t="inlineStr">
        <is>
          <t>fulltext</t>
        </is>
      </c>
      <c r="H25" s="4" t="inlineStr">
        <is>
          <t>yes</t>
        </is>
      </c>
      <c r="I25" s="4" t="inlineStr">
        <is>
          <t>medium</t>
        </is>
      </c>
      <c r="J25" s="4" t="inlineStr">
        <is>
          <t>pending</t>
        </is>
      </c>
      <c r="K25" s="3" t="inlineStr">
        <is>
          <t>PCL nanoparticles, effect of drug amount study</t>
        </is>
      </c>
      <c r="L25">
        <f>IF(OR($F25="",$H25="",$I25="",$J25=""),"missing_required","")</f>
        <v/>
      </c>
      <c r="M25">
        <f>IF(COUNTIFS($A:$A,$A25,$D:$D,$D25)&gt;1,"duplicate_id","")</f>
        <v/>
      </c>
    </row>
    <row r="26">
      <c r="A26" t="inlineStr">
        <is>
          <t>5GIF3D8W</t>
        </is>
      </c>
      <c r="B26" t="inlineStr">
        <is>
          <t>10.1080/10717540802174662</t>
        </is>
      </c>
      <c r="C26" s="2" t="inlineStr">
        <is>
          <t>Etoposide-Loaded PLGA and PCL Nanoparticles I: Preparation and Effect of Formulation Variables</t>
        </is>
      </c>
      <c r="D26" t="inlineStr">
        <is>
          <t>31</t>
        </is>
      </c>
      <c r="E26" s="3" t="inlineStr">
        <is>
          <t>Etoposide</t>
        </is>
      </c>
      <c r="F26" s="4" t="inlineStr">
        <is>
          <t>text_described</t>
        </is>
      </c>
      <c r="G26" s="3" t="inlineStr">
        <is>
          <t>fulltext</t>
        </is>
      </c>
      <c r="H26" s="4" t="inlineStr">
        <is>
          <t>yes</t>
        </is>
      </c>
      <c r="I26" s="4" t="inlineStr">
        <is>
          <t>medium</t>
        </is>
      </c>
      <c r="J26" s="4" t="inlineStr">
        <is>
          <t>pending</t>
        </is>
      </c>
      <c r="K26" s="3" t="inlineStr">
        <is>
          <t>PCL nanoparticles, effect of drug amount study</t>
        </is>
      </c>
      <c r="L26">
        <f>IF(OR($F26="",$H26="",$I26="",$J26=""),"missing_required","")</f>
        <v/>
      </c>
      <c r="M26">
        <f>IF(COUNTIFS($A:$A,$A26,$D:$D,$D26)&gt;1,"duplicate_id","")</f>
        <v/>
      </c>
    </row>
    <row r="27">
      <c r="A27" t="inlineStr">
        <is>
          <t>5GIF3D8W</t>
        </is>
      </c>
      <c r="B27" t="inlineStr">
        <is>
          <t>10.1080/10717540802174662</t>
        </is>
      </c>
      <c r="C27" s="2" t="inlineStr">
        <is>
          <t>Etoposide-Loaded PLGA and PCL Nanoparticles I: Preparation and Effect of Formulation Variables</t>
        </is>
      </c>
      <c r="D27" t="inlineStr">
        <is>
          <t>32</t>
        </is>
      </c>
      <c r="E27" s="3" t="inlineStr">
        <is>
          <t>Etoposide</t>
        </is>
      </c>
      <c r="F27" s="4" t="inlineStr">
        <is>
          <t>text_described</t>
        </is>
      </c>
      <c r="G27" s="3" t="inlineStr">
        <is>
          <t>fulltext</t>
        </is>
      </c>
      <c r="H27" s="4" t="inlineStr">
        <is>
          <t>yes</t>
        </is>
      </c>
      <c r="I27" s="4" t="inlineStr">
        <is>
          <t>medium</t>
        </is>
      </c>
      <c r="J27" s="4" t="inlineStr">
        <is>
          <t>pending</t>
        </is>
      </c>
      <c r="K27" s="3" t="inlineStr">
        <is>
          <t>PCL nanoparticles, effect of drug amount study; no specific size or EE values given for 20mg drug feed</t>
        </is>
      </c>
      <c r="L27">
        <f>IF(OR($F27="",$H27="",$I27="",$J27=""),"missing_required","")</f>
        <v/>
      </c>
      <c r="M27">
        <f>IF(COUNTIFS($A:$A,$A27,$D:$D,$D27)&gt;1,"duplicate_id","")</f>
        <v/>
      </c>
    </row>
    <row r="28">
      <c r="A28" t="inlineStr">
        <is>
          <t>5GIF3D8W</t>
        </is>
      </c>
      <c r="B28" t="inlineStr">
        <is>
          <t>10.1080/10717540802174662</t>
        </is>
      </c>
      <c r="C28" s="2" t="inlineStr">
        <is>
          <t>Etoposide-Loaded PLGA and PCL Nanoparticles I: Preparation and Effect of Formulation Variables</t>
        </is>
      </c>
      <c r="D28" t="inlineStr">
        <is>
          <t>4</t>
        </is>
      </c>
      <c r="E28" s="3" t="inlineStr">
        <is>
          <t>Etoposide</t>
        </is>
      </c>
      <c r="F28" s="4" t="inlineStr">
        <is>
          <t>text_described</t>
        </is>
      </c>
      <c r="G28" s="3" t="inlineStr">
        <is>
          <t>fulltext</t>
        </is>
      </c>
      <c r="H28" s="4" t="inlineStr">
        <is>
          <t>yes</t>
        </is>
      </c>
      <c r="I28" s="4" t="inlineStr">
        <is>
          <t>medium</t>
        </is>
      </c>
      <c r="J28" s="4" t="inlineStr">
        <is>
          <t>pending</t>
        </is>
      </c>
      <c r="K28" s="3" t="inlineStr">
        <is>
          <t>Optimized drug-loaded nanoparticles, data from Table 1</t>
        </is>
      </c>
      <c r="L28">
        <f>IF(OR($F28="",$H28="",$I28="",$J28=""),"missing_required","")</f>
        <v/>
      </c>
      <c r="M28">
        <f>IF(COUNTIFS($A:$A,$A28,$D:$D,$D28)&gt;1,"duplicate_id","")</f>
        <v/>
      </c>
    </row>
    <row r="29">
      <c r="A29" t="inlineStr">
        <is>
          <t>5GIF3D8W</t>
        </is>
      </c>
      <c r="B29" t="inlineStr">
        <is>
          <t>10.1080/10717540802174662</t>
        </is>
      </c>
      <c r="C29" s="2" t="inlineStr">
        <is>
          <t>Etoposide-Loaded PLGA and PCL Nanoparticles I: Preparation and Effect of Formulation Variables</t>
        </is>
      </c>
      <c r="D29" t="inlineStr">
        <is>
          <t>5</t>
        </is>
      </c>
      <c r="E29" s="3" t="inlineStr"/>
      <c r="F29" s="4" t="inlineStr">
        <is>
          <t>text_described</t>
        </is>
      </c>
      <c r="G29" s="3" t="inlineStr">
        <is>
          <t>fulltext</t>
        </is>
      </c>
      <c r="H29" s="4" t="inlineStr">
        <is>
          <t>yes</t>
        </is>
      </c>
      <c r="I29" s="4" t="inlineStr">
        <is>
          <t>medium</t>
        </is>
      </c>
      <c r="J29" s="4" t="inlineStr">
        <is>
          <t>pending</t>
        </is>
      </c>
      <c r="K29" s="3" t="inlineStr">
        <is>
          <t>Optimized empty nanoparticles, data from Table 1</t>
        </is>
      </c>
      <c r="L29">
        <f>IF(OR($F29="",$H29="",$I29="",$J29=""),"missing_required","")</f>
        <v/>
      </c>
      <c r="M29">
        <f>IF(COUNTIFS($A:$A,$A29,$D:$D,$D29)&gt;1,"duplicate_id","")</f>
        <v/>
      </c>
    </row>
    <row r="30">
      <c r="A30" t="inlineStr">
        <is>
          <t>5GIF3D8W</t>
        </is>
      </c>
      <c r="B30" t="inlineStr">
        <is>
          <t>10.1080/10717540802174662</t>
        </is>
      </c>
      <c r="C30" s="2" t="inlineStr">
        <is>
          <t>Etoposide-Loaded PLGA and PCL Nanoparticles I: Preparation and Effect of Formulation Variables</t>
        </is>
      </c>
      <c r="D30" t="inlineStr">
        <is>
          <t>6</t>
        </is>
      </c>
      <c r="E30" s="3" t="inlineStr">
        <is>
          <t>Etoposide</t>
        </is>
      </c>
      <c r="F30" s="4" t="inlineStr">
        <is>
          <t>text_described</t>
        </is>
      </c>
      <c r="G30" s="3" t="inlineStr">
        <is>
          <t>fulltext</t>
        </is>
      </c>
      <c r="H30" s="4" t="inlineStr">
        <is>
          <t>yes</t>
        </is>
      </c>
      <c r="I30" s="4" t="inlineStr">
        <is>
          <t>medium</t>
        </is>
      </c>
      <c r="J30" s="4" t="inlineStr">
        <is>
          <t>pending</t>
        </is>
      </c>
      <c r="K30" s="3" t="inlineStr">
        <is>
          <t>Optimized drug-loaded nanoparticles, data from Table 1</t>
        </is>
      </c>
      <c r="L30">
        <f>IF(OR($F30="",$H30="",$I30="",$J30=""),"missing_required","")</f>
        <v/>
      </c>
      <c r="M30">
        <f>IF(COUNTIFS($A:$A,$A30,$D:$D,$D30)&gt;1,"duplicate_id","")</f>
        <v/>
      </c>
    </row>
    <row r="31">
      <c r="A31" t="inlineStr">
        <is>
          <t>5GIF3D8W</t>
        </is>
      </c>
      <c r="B31" t="inlineStr">
        <is>
          <t>10.1080/10717540802174662</t>
        </is>
      </c>
      <c r="C31" s="2" t="inlineStr">
        <is>
          <t>Etoposide-Loaded PLGA and PCL Nanoparticles I: Preparation and Effect of Formulation Variables</t>
        </is>
      </c>
      <c r="D31" t="inlineStr">
        <is>
          <t>7</t>
        </is>
      </c>
      <c r="E31" s="3" t="inlineStr"/>
      <c r="F31" s="4" t="inlineStr">
        <is>
          <t>text_described</t>
        </is>
      </c>
      <c r="G31" s="3" t="inlineStr">
        <is>
          <t>fulltext</t>
        </is>
      </c>
      <c r="H31" s="4" t="inlineStr">
        <is>
          <t>yes</t>
        </is>
      </c>
      <c r="I31" s="4" t="inlineStr">
        <is>
          <t>medium</t>
        </is>
      </c>
      <c r="J31" s="4" t="inlineStr">
        <is>
          <t>pending</t>
        </is>
      </c>
      <c r="K31" s="3" t="inlineStr">
        <is>
          <t>PCL empty nanoparticles, optimized formulation, data from Table 1</t>
        </is>
      </c>
      <c r="L31">
        <f>IF(OR($F31="",$H31="",$I31="",$J31=""),"missing_required","")</f>
        <v/>
      </c>
      <c r="M31">
        <f>IF(COUNTIFS($A:$A,$A31,$D:$D,$D31)&gt;1,"duplicate_id","")</f>
        <v/>
      </c>
    </row>
    <row r="32">
      <c r="A32" t="inlineStr">
        <is>
          <t>5GIF3D8W</t>
        </is>
      </c>
      <c r="B32" t="inlineStr">
        <is>
          <t>10.1080/10717540802174662</t>
        </is>
      </c>
      <c r="C32" s="2" t="inlineStr">
        <is>
          <t>Etoposide-Loaded PLGA and PCL Nanoparticles I: Preparation and Effect of Formulation Variables</t>
        </is>
      </c>
      <c r="D32" t="inlineStr">
        <is>
          <t>8</t>
        </is>
      </c>
      <c r="E32" s="3" t="inlineStr">
        <is>
          <t>Etoposide</t>
        </is>
      </c>
      <c r="F32" s="4" t="inlineStr">
        <is>
          <t>text_described</t>
        </is>
      </c>
      <c r="G32" s="3" t="inlineStr">
        <is>
          <t>fulltext</t>
        </is>
      </c>
      <c r="H32" s="4" t="inlineStr">
        <is>
          <t>yes</t>
        </is>
      </c>
      <c r="I32" s="4" t="inlineStr">
        <is>
          <t>medium</t>
        </is>
      </c>
      <c r="J32" s="4" t="inlineStr">
        <is>
          <t>pending</t>
        </is>
      </c>
      <c r="K32" s="3" t="inlineStr">
        <is>
          <t>PCL drug-loaded nanoparticles, optimized formulation, data from Table 1</t>
        </is>
      </c>
      <c r="L32">
        <f>IF(OR($F32="",$H32="",$I32="",$J32=""),"missing_required","")</f>
        <v/>
      </c>
      <c r="M32">
        <f>IF(COUNTIFS($A:$A,$A32,$D:$D,$D32)&gt;1,"duplicate_id","")</f>
        <v/>
      </c>
    </row>
    <row r="33">
      <c r="A33" t="inlineStr">
        <is>
          <t>5GIF3D8W</t>
        </is>
      </c>
      <c r="B33" t="inlineStr">
        <is>
          <t>10.1080/10717540802174662</t>
        </is>
      </c>
      <c r="C33" s="2" t="inlineStr">
        <is>
          <t>Etoposide-Loaded PLGA and PCL Nanoparticles I: Preparation and Effect of Formulation Variables</t>
        </is>
      </c>
      <c r="D33" t="inlineStr">
        <is>
          <t>9</t>
        </is>
      </c>
      <c r="E33" s="3" t="inlineStr">
        <is>
          <t>Etoposide</t>
        </is>
      </c>
      <c r="F33" s="4" t="inlineStr">
        <is>
          <t>text_described</t>
        </is>
      </c>
      <c r="G33" s="3" t="inlineStr">
        <is>
          <t>fulltext</t>
        </is>
      </c>
      <c r="H33" s="4" t="inlineStr">
        <is>
          <t>yes</t>
        </is>
      </c>
      <c r="I33" s="4" t="inlineStr">
        <is>
          <t>medium</t>
        </is>
      </c>
      <c r="J33" s="4" t="inlineStr">
        <is>
          <t>pending</t>
        </is>
      </c>
      <c r="K33" s="3" t="inlineStr">
        <is>
          <t>Effect of stabilizer concentration study; size estimated from Figure 6A, loading content estimated from Figure 7A</t>
        </is>
      </c>
      <c r="L33">
        <f>IF(OR($F33="",$H33="",$I33="",$J33=""),"missing_required","")</f>
        <v/>
      </c>
      <c r="M33">
        <f>IF(COUNTIFS($A:$A,$A33,$D:$D,$D33)&gt;1,"duplicate_id","")</f>
        <v/>
      </c>
    </row>
    <row r="34">
      <c r="A34" t="inlineStr">
        <is>
          <t>5ZXYABSU</t>
        </is>
      </c>
      <c r="B34" t="inlineStr">
        <is>
          <t>10.2147/ijn.s130908</t>
        </is>
      </c>
      <c r="C34" s="2" t="inlineStr">
        <is>
          <t>Surface-modified gatifloxacin nanoparticles with potential for treating central nervous system tuberculosis</t>
        </is>
      </c>
      <c r="D34" t="inlineStr">
        <is>
          <t>NPB1</t>
        </is>
      </c>
      <c r="E34" s="3" t="inlineStr"/>
      <c r="F34" s="4" t="inlineStr">
        <is>
          <t>text_described</t>
        </is>
      </c>
      <c r="G34" s="3" t="inlineStr">
        <is>
          <t>fulltext</t>
        </is>
      </c>
      <c r="H34" s="4" t="inlineStr">
        <is>
          <t>yes</t>
        </is>
      </c>
      <c r="I34" s="4" t="inlineStr">
        <is>
          <t>medium</t>
        </is>
      </c>
      <c r="J34" s="4" t="inlineStr">
        <is>
          <t>pending</t>
        </is>
      </c>
      <c r="K34" s="3" t="inlineStr">
        <is>
          <t>Blank formulation (no drug).</t>
        </is>
      </c>
      <c r="L34">
        <f>IF(OR($F34="",$H34="",$I34="",$J34=""),"missing_required","")</f>
        <v/>
      </c>
      <c r="M34">
        <f>IF(COUNTIFS($A:$A,$A34,$D:$D,$D34)&gt;1,"duplicate_id","")</f>
        <v/>
      </c>
    </row>
    <row r="35">
      <c r="A35" t="inlineStr">
        <is>
          <t>5ZXYABSU</t>
        </is>
      </c>
      <c r="B35" t="inlineStr">
        <is>
          <t>10.2147/ijn.s130908</t>
        </is>
      </c>
      <c r="C35" s="2" t="inlineStr">
        <is>
          <t>Surface-modified gatifloxacin nanoparticles with potential for treating central nervous system tuberculosis</t>
        </is>
      </c>
      <c r="D35" t="inlineStr">
        <is>
          <t>NPB2</t>
        </is>
      </c>
      <c r="E35" s="3" t="inlineStr"/>
      <c r="F35" s="4" t="inlineStr">
        <is>
          <t>text_described</t>
        </is>
      </c>
      <c r="G35" s="3" t="inlineStr">
        <is>
          <t>fulltext</t>
        </is>
      </c>
      <c r="H35" s="4" t="inlineStr">
        <is>
          <t>yes</t>
        </is>
      </c>
      <c r="I35" s="4" t="inlineStr">
        <is>
          <t>medium</t>
        </is>
      </c>
      <c r="J35" s="4" t="inlineStr">
        <is>
          <t>pending</t>
        </is>
      </c>
      <c r="K35" s="3" t="inlineStr">
        <is>
          <t>Blank formulation (no drug). The Polysorbate 80 concentration in the external phase was explicitly stated as 0.5% (as per NPR2), despite Table 1 showing '1'.</t>
        </is>
      </c>
      <c r="L35">
        <f>IF(OR($F35="",$H35="",$I35="",$J35=""),"missing_required","")</f>
        <v/>
      </c>
      <c r="M35">
        <f>IF(COUNTIFS($A:$A,$A35,$D:$D,$D35)&gt;1,"duplicate_id","")</f>
        <v/>
      </c>
    </row>
    <row r="36">
      <c r="A36" t="inlineStr">
        <is>
          <t>5ZXYABSU</t>
        </is>
      </c>
      <c r="B36" t="inlineStr">
        <is>
          <t>10.2147/ijn.s130908</t>
        </is>
      </c>
      <c r="C36" s="2" t="inlineStr">
        <is>
          <t>Surface-modified gatifloxacin nanoparticles with potential for treating central nervous system tuberculosis</t>
        </is>
      </c>
      <c r="D36" t="inlineStr">
        <is>
          <t>NPB3</t>
        </is>
      </c>
      <c r="E36" s="3" t="inlineStr"/>
      <c r="F36" s="4" t="inlineStr">
        <is>
          <t>text_described</t>
        </is>
      </c>
      <c r="G36" s="3" t="inlineStr">
        <is>
          <t>fulltext</t>
        </is>
      </c>
      <c r="H36" s="4" t="inlineStr">
        <is>
          <t>yes</t>
        </is>
      </c>
      <c r="I36" s="4" t="inlineStr">
        <is>
          <t>medium</t>
        </is>
      </c>
      <c r="J36" s="4" t="inlineStr">
        <is>
          <t>pending</t>
        </is>
      </c>
      <c r="K36" s="3" t="inlineStr">
        <is>
          <t>Blank formulation (no drug). Labrafil M1944CS (3.5 mg) was incorporated into the inner phase, not used as an external phase surfactant.</t>
        </is>
      </c>
      <c r="L36">
        <f>IF(OR($F36="",$H36="",$I36="",$J36=""),"missing_required","")</f>
        <v/>
      </c>
      <c r="M36">
        <f>IF(COUNTIFS($A:$A,$A36,$D:$D,$D36)&gt;1,"duplicate_id","")</f>
        <v/>
      </c>
    </row>
    <row r="37">
      <c r="A37" t="inlineStr">
        <is>
          <t>5ZXYABSU</t>
        </is>
      </c>
      <c r="B37" t="inlineStr">
        <is>
          <t>10.2147/ijn.s130908</t>
        </is>
      </c>
      <c r="C37" s="2" t="inlineStr">
        <is>
          <t>Surface-modified gatifloxacin nanoparticles with potential for treating central nervous system tuberculosis</t>
        </is>
      </c>
      <c r="D37" t="inlineStr">
        <is>
          <t>NPG1</t>
        </is>
      </c>
      <c r="E37" s="3" t="inlineStr">
        <is>
          <t>Gatifloxacin</t>
        </is>
      </c>
      <c r="F37" s="4" t="inlineStr">
        <is>
          <t>text_described</t>
        </is>
      </c>
      <c r="G37" s="3" t="inlineStr">
        <is>
          <t>fulltext</t>
        </is>
      </c>
      <c r="H37" s="4" t="inlineStr">
        <is>
          <t>yes</t>
        </is>
      </c>
      <c r="I37" s="4" t="inlineStr">
        <is>
          <t>medium</t>
        </is>
      </c>
      <c r="J37" s="4" t="inlineStr">
        <is>
          <t>pending</t>
        </is>
      </c>
      <c r="K37" s="3" t="inlineStr">
        <is>
          <t>For Gat-loaded PLGA NPs (NPG1, NPG2, NPG3), Span values ranged between 0.7 and 1.07, with PI &lt; 0.38, indicating slight polydispersion.</t>
        </is>
      </c>
      <c r="L37">
        <f>IF(OR($F37="",$H37="",$I37="",$J37=""),"missing_required","")</f>
        <v/>
      </c>
      <c r="M37">
        <f>IF(COUNTIFS($A:$A,$A37,$D:$D,$D37)&gt;1,"duplicate_id","")</f>
        <v/>
      </c>
    </row>
    <row r="38">
      <c r="A38" t="inlineStr">
        <is>
          <t>5ZXYABSU</t>
        </is>
      </c>
      <c r="B38" t="inlineStr">
        <is>
          <t>10.2147/ijn.s130908</t>
        </is>
      </c>
      <c r="C38" s="2" t="inlineStr">
        <is>
          <t>Surface-modified gatifloxacin nanoparticles with potential for treating central nervous system tuberculosis</t>
        </is>
      </c>
      <c r="D38" t="inlineStr">
        <is>
          <t>NPG2</t>
        </is>
      </c>
      <c r="E38" s="3" t="inlineStr">
        <is>
          <t>Gatifloxacin</t>
        </is>
      </c>
      <c r="F38" s="4" t="inlineStr">
        <is>
          <t>text_described</t>
        </is>
      </c>
      <c r="G38" s="3" t="inlineStr">
        <is>
          <t>fulltext</t>
        </is>
      </c>
      <c r="H38" s="4" t="inlineStr">
        <is>
          <t>yes</t>
        </is>
      </c>
      <c r="I38" s="4" t="inlineStr">
        <is>
          <t>medium</t>
        </is>
      </c>
      <c r="J38" s="4" t="inlineStr">
        <is>
          <t>pending</t>
        </is>
      </c>
      <c r="K38" s="3" t="inlineStr">
        <is>
          <t>The Polysorbate 80 concentration in the external phase was explicitly stated as 0.5% (as per NPR2), despite Table 1 showing '1'. For Gat-loaded PLGA NPs (NPG1, NPG2, NPG3), Span values ranged between 0.7 and 1.07, with PI &lt; 0.38, indicating slight polydispersion.</t>
        </is>
      </c>
      <c r="L38">
        <f>IF(OR($F38="",$H38="",$I38="",$J38=""),"missing_required","")</f>
        <v/>
      </c>
      <c r="M38">
        <f>IF(COUNTIFS($A:$A,$A38,$D:$D,$D38)&gt;1,"duplicate_id","")</f>
        <v/>
      </c>
    </row>
    <row r="39">
      <c r="A39" t="inlineStr">
        <is>
          <t>5ZXYABSU</t>
        </is>
      </c>
      <c r="B39" t="inlineStr">
        <is>
          <t>10.2147/ijn.s130908</t>
        </is>
      </c>
      <c r="C39" s="2" t="inlineStr">
        <is>
          <t>Surface-modified gatifloxacin nanoparticles with potential for treating central nervous system tuberculosis</t>
        </is>
      </c>
      <c r="D39" t="inlineStr">
        <is>
          <t>NPG3</t>
        </is>
      </c>
      <c r="E39" s="3" t="inlineStr">
        <is>
          <t>Gatifloxacin</t>
        </is>
      </c>
      <c r="F39" s="4" t="inlineStr">
        <is>
          <t>text_described</t>
        </is>
      </c>
      <c r="G39" s="3" t="inlineStr">
        <is>
          <t>fulltext</t>
        </is>
      </c>
      <c r="H39" s="4" t="inlineStr">
        <is>
          <t>yes</t>
        </is>
      </c>
      <c r="I39" s="4" t="inlineStr">
        <is>
          <t>medium</t>
        </is>
      </c>
      <c r="J39" s="4" t="inlineStr">
        <is>
          <t>pending</t>
        </is>
      </c>
      <c r="K39" s="3" t="inlineStr">
        <is>
          <t>Labrafil M1944CS (3.5 mg) was incorporated into the inner phase, not used as an external phase surfactant. For Gat-loaded PLGA NPs (NPG1, NPG2, NPG3), Span values ranged between 0.7 and 1.07, with PI &lt; 0.38, indicating slight polydispersion.</t>
        </is>
      </c>
      <c r="L39">
        <f>IF(OR($F39="",$H39="",$I39="",$J39=""),"missing_required","")</f>
        <v/>
      </c>
      <c r="M39">
        <f>IF(COUNTIFS($A:$A,$A39,$D:$D,$D39)&gt;1,"duplicate_id","")</f>
        <v/>
      </c>
    </row>
    <row r="40">
      <c r="A40" t="inlineStr">
        <is>
          <t>5ZXYABSU</t>
        </is>
      </c>
      <c r="B40" t="inlineStr">
        <is>
          <t>10.2147/ijn.s130908</t>
        </is>
      </c>
      <c r="C40" s="2" t="inlineStr">
        <is>
          <t>Surface-modified gatifloxacin nanoparticles with potential for treating central nervous system tuberculosis</t>
        </is>
      </c>
      <c r="D40" t="inlineStr">
        <is>
          <t>NPR1</t>
        </is>
      </c>
      <c r="E40" s="3" t="inlineStr">
        <is>
          <t>Rhodamine</t>
        </is>
      </c>
      <c r="F40" s="4" t="inlineStr">
        <is>
          <t>text_described</t>
        </is>
      </c>
      <c r="G40" s="3" t="inlineStr">
        <is>
          <t>fulltext</t>
        </is>
      </c>
      <c r="H40" s="4" t="inlineStr">
        <is>
          <t>yes</t>
        </is>
      </c>
      <c r="I40" s="4" t="inlineStr">
        <is>
          <t>medium</t>
        </is>
      </c>
      <c r="J40" s="4" t="inlineStr">
        <is>
          <t>pending</t>
        </is>
      </c>
      <c r="K40" s="3" t="inlineStr"/>
      <c r="L40">
        <f>IF(OR($F40="",$H40="",$I40="",$J40=""),"missing_required","")</f>
        <v/>
      </c>
      <c r="M40">
        <f>IF(COUNTIFS($A:$A,$A40,$D:$D,$D40)&gt;1,"duplicate_id","")</f>
        <v/>
      </c>
    </row>
    <row r="41">
      <c r="A41" t="inlineStr">
        <is>
          <t>5ZXYABSU</t>
        </is>
      </c>
      <c r="B41" t="inlineStr">
        <is>
          <t>10.2147/ijn.s130908</t>
        </is>
      </c>
      <c r="C41" s="2" t="inlineStr">
        <is>
          <t>Surface-modified gatifloxacin nanoparticles with potential for treating central nervous system tuberculosis</t>
        </is>
      </c>
      <c r="D41" t="inlineStr">
        <is>
          <t>NPR2</t>
        </is>
      </c>
      <c r="E41" s="3" t="inlineStr">
        <is>
          <t>Rhodamine</t>
        </is>
      </c>
      <c r="F41" s="4" t="inlineStr">
        <is>
          <t>text_described</t>
        </is>
      </c>
      <c r="G41" s="3" t="inlineStr">
        <is>
          <t>fulltext</t>
        </is>
      </c>
      <c r="H41" s="4" t="inlineStr">
        <is>
          <t>yes</t>
        </is>
      </c>
      <c r="I41" s="4" t="inlineStr">
        <is>
          <t>medium</t>
        </is>
      </c>
      <c r="J41" s="4" t="inlineStr">
        <is>
          <t>pending</t>
        </is>
      </c>
      <c r="K41" s="3" t="inlineStr">
        <is>
          <t>The Polysorbate 80 concentration in the external phase was explicitly stated as 0.5%, despite Table 1 showing '1'.</t>
        </is>
      </c>
      <c r="L41">
        <f>IF(OR($F41="",$H41="",$I41="",$J41=""),"missing_required","")</f>
        <v/>
      </c>
      <c r="M41">
        <f>IF(COUNTIFS($A:$A,$A41,$D:$D,$D41)&gt;1,"duplicate_id","")</f>
        <v/>
      </c>
    </row>
    <row r="42">
      <c r="A42" t="inlineStr">
        <is>
          <t>5ZXYABSU</t>
        </is>
      </c>
      <c r="B42" t="inlineStr">
        <is>
          <t>10.2147/ijn.s130908</t>
        </is>
      </c>
      <c r="C42" s="2" t="inlineStr">
        <is>
          <t>Surface-modified gatifloxacin nanoparticles with potential for treating central nervous system tuberculosis</t>
        </is>
      </c>
      <c r="D42" t="inlineStr">
        <is>
          <t>NPR3</t>
        </is>
      </c>
      <c r="E42" s="3" t="inlineStr">
        <is>
          <t>Rhodamine</t>
        </is>
      </c>
      <c r="F42" s="4" t="inlineStr">
        <is>
          <t>text_described</t>
        </is>
      </c>
      <c r="G42" s="3" t="inlineStr">
        <is>
          <t>fulltext</t>
        </is>
      </c>
      <c r="H42" s="4" t="inlineStr">
        <is>
          <t>yes</t>
        </is>
      </c>
      <c r="I42" s="4" t="inlineStr">
        <is>
          <t>medium</t>
        </is>
      </c>
      <c r="J42" s="4" t="inlineStr">
        <is>
          <t>pending</t>
        </is>
      </c>
      <c r="K42" s="3" t="inlineStr">
        <is>
          <t>Labrafil M1944CS (3.5 mg) was incorporated into the inner phase, not used as an external phase surfactant.</t>
        </is>
      </c>
      <c r="L42">
        <f>IF(OR($F42="",$H42="",$I42="",$J42=""),"missing_required","")</f>
        <v/>
      </c>
      <c r="M42">
        <f>IF(COUNTIFS($A:$A,$A42,$D:$D,$D42)&gt;1,"duplicate_id","")</f>
        <v/>
      </c>
    </row>
    <row r="43">
      <c r="A43" t="inlineStr">
        <is>
          <t>7ZS858NS</t>
        </is>
      </c>
      <c r="B43" t="inlineStr">
        <is>
          <t>10.1021/acsomega.0c00111</t>
        </is>
      </c>
      <c r="C43" s="2" t="inlineStr">
        <is>
          <t>Developing Biodegradable Nanoparticles Loaded with Mometasone Furoate for Potential Nasal Drug Delivery</t>
        </is>
      </c>
      <c r="D43" t="inlineStr">
        <is>
          <t>1</t>
        </is>
      </c>
      <c r="E43" s="3" t="inlineStr">
        <is>
          <t>mometasone furoate</t>
        </is>
      </c>
      <c r="F43" s="4" t="inlineStr">
        <is>
          <t>text_described</t>
        </is>
      </c>
      <c r="G43" s="3" t="inlineStr">
        <is>
          <t>fulltext</t>
        </is>
      </c>
      <c r="H43" s="4" t="inlineStr">
        <is>
          <t>yes</t>
        </is>
      </c>
      <c r="I43" s="4" t="inlineStr">
        <is>
          <t>medium</t>
        </is>
      </c>
      <c r="J43" s="4" t="inlineStr">
        <is>
          <t>pending</t>
        </is>
      </c>
      <c r="K43" s="3" t="inlineStr">
        <is>
          <t>MF-loaded PLGA nanoparticles (MF NPs) prepared using nanoprecipitation. Characterization data (mean ± s.d.) from Table 1. PLGA (Purasorb PDLG 5010) had an inherent viscosity midpoint of 1 dL/g.</t>
        </is>
      </c>
      <c r="L43">
        <f>IF(OR($F43="",$H43="",$I43="",$J43=""),"missing_required","")</f>
        <v/>
      </c>
      <c r="M43">
        <f>IF(COUNTIFS($A:$A,$A43,$D:$D,$D43)&gt;1,"duplicate_id","")</f>
        <v/>
      </c>
    </row>
    <row r="44">
      <c r="A44" t="inlineStr">
        <is>
          <t>7ZS858NS</t>
        </is>
      </c>
      <c r="B44" t="inlineStr">
        <is>
          <t>10.1021/acsomega.0c00111</t>
        </is>
      </c>
      <c r="C44" s="2" t="inlineStr">
        <is>
          <t>Developing Biodegradable Nanoparticles Loaded with Mometasone Furoate for Potential Nasal Drug Delivery</t>
        </is>
      </c>
      <c r="D44" t="inlineStr">
        <is>
          <t>2</t>
        </is>
      </c>
      <c r="E44" s="3" t="inlineStr">
        <is>
          <t>mometasone furoate</t>
        </is>
      </c>
      <c r="F44" s="4" t="inlineStr">
        <is>
          <t>text_described</t>
        </is>
      </c>
      <c r="G44" s="3" t="inlineStr">
        <is>
          <t>fulltext</t>
        </is>
      </c>
      <c r="H44" s="4" t="inlineStr">
        <is>
          <t>yes</t>
        </is>
      </c>
      <c r="I44" s="4" t="inlineStr">
        <is>
          <t>medium</t>
        </is>
      </c>
      <c r="J44" s="4" t="inlineStr">
        <is>
          <t>pending</t>
        </is>
      </c>
      <c r="K44" s="3" t="inlineStr">
        <is>
          <t>MF NPs after freeze-drying with 4% w/v sucrose as cryoprotectant. Characterization data (mean ± s.d.) from Table 2. Sf/Si ratio was 1.38.</t>
        </is>
      </c>
      <c r="L44">
        <f>IF(OR($F44="",$H44="",$I44="",$J44=""),"missing_required","")</f>
        <v/>
      </c>
      <c r="M44">
        <f>IF(COUNTIFS($A:$A,$A44,$D:$D,$D44)&gt;1,"duplicate_id","")</f>
        <v/>
      </c>
    </row>
    <row r="45">
      <c r="A45" t="inlineStr">
        <is>
          <t>7ZS858NS</t>
        </is>
      </c>
      <c r="B45" t="inlineStr">
        <is>
          <t>10.1021/acsomega.0c00111</t>
        </is>
      </c>
      <c r="C45" s="2" t="inlineStr">
        <is>
          <t>Developing Biodegradable Nanoparticles Loaded with Mometasone Furoate for Potential Nasal Drug Delivery</t>
        </is>
      </c>
      <c r="D45" t="inlineStr">
        <is>
          <t>3</t>
        </is>
      </c>
      <c r="E45" s="3" t="inlineStr">
        <is>
          <t>mometasone furoate</t>
        </is>
      </c>
      <c r="F45" s="4" t="inlineStr">
        <is>
          <t>text_described</t>
        </is>
      </c>
      <c r="G45" s="3" t="inlineStr">
        <is>
          <t>fulltext</t>
        </is>
      </c>
      <c r="H45" s="4" t="inlineStr">
        <is>
          <t>yes</t>
        </is>
      </c>
      <c r="I45" s="4" t="inlineStr">
        <is>
          <t>medium</t>
        </is>
      </c>
      <c r="J45" s="4" t="inlineStr">
        <is>
          <t>pending</t>
        </is>
      </c>
      <c r="K45" s="3" t="inlineStr">
        <is>
          <t>MF NPs after freeze-drying with 6% w/v sucrose as cryoprotectant. Characterization data (mean ± s.d.) from Table 2. Sf/Si ratio was 1.75.</t>
        </is>
      </c>
      <c r="L45">
        <f>IF(OR($F45="",$H45="",$I45="",$J45=""),"missing_required","")</f>
        <v/>
      </c>
      <c r="M45">
        <f>IF(COUNTIFS($A:$A,$A45,$D:$D,$D45)&gt;1,"duplicate_id","")</f>
        <v/>
      </c>
    </row>
    <row r="46">
      <c r="A46" t="inlineStr">
        <is>
          <t>7ZS858NS</t>
        </is>
      </c>
      <c r="B46" t="inlineStr">
        <is>
          <t>10.1021/acsomega.0c00111</t>
        </is>
      </c>
      <c r="C46" s="2" t="inlineStr">
        <is>
          <t>Developing Biodegradable Nanoparticles Loaded with Mometasone Furoate for Potential Nasal Drug Delivery</t>
        </is>
      </c>
      <c r="D46" t="inlineStr">
        <is>
          <t>4</t>
        </is>
      </c>
      <c r="E46" s="3" t="inlineStr">
        <is>
          <t>mometasone furoate</t>
        </is>
      </c>
      <c r="F46" s="4" t="inlineStr">
        <is>
          <t>text_described</t>
        </is>
      </c>
      <c r="G46" s="3" t="inlineStr">
        <is>
          <t>fulltext</t>
        </is>
      </c>
      <c r="H46" s="4" t="inlineStr">
        <is>
          <t>yes</t>
        </is>
      </c>
      <c r="I46" s="4" t="inlineStr">
        <is>
          <t>medium</t>
        </is>
      </c>
      <c r="J46" s="4" t="inlineStr">
        <is>
          <t>pending</t>
        </is>
      </c>
      <c r="K46" s="3" t="inlineStr">
        <is>
          <t>MF NPs after freeze-drying with 8% w/v sucrose as cryoprotectant. Characterization data (mean ± s.d.) from Table 2. Sf/Si ratio was 1.25.</t>
        </is>
      </c>
      <c r="L46">
        <f>IF(OR($F46="",$H46="",$I46="",$J46=""),"missing_required","")</f>
        <v/>
      </c>
      <c r="M46">
        <f>IF(COUNTIFS($A:$A,$A46,$D:$D,$D46)&gt;1,"duplicate_id","")</f>
        <v/>
      </c>
    </row>
    <row r="47">
      <c r="A47" t="inlineStr">
        <is>
          <t>7ZS858NS</t>
        </is>
      </c>
      <c r="B47" t="inlineStr">
        <is>
          <t>10.1021/acsomega.0c00111</t>
        </is>
      </c>
      <c r="C47" s="2" t="inlineStr">
        <is>
          <t>Developing Biodegradable Nanoparticles Loaded with Mometasone Furoate for Potential Nasal Drug Delivery</t>
        </is>
      </c>
      <c r="D47" t="inlineStr">
        <is>
          <t>5</t>
        </is>
      </c>
      <c r="E47" s="3" t="inlineStr">
        <is>
          <t>mometasone furoate</t>
        </is>
      </c>
      <c r="F47" s="4" t="inlineStr">
        <is>
          <t>text_described</t>
        </is>
      </c>
      <c r="G47" s="3" t="inlineStr">
        <is>
          <t>fulltext</t>
        </is>
      </c>
      <c r="H47" s="4" t="inlineStr">
        <is>
          <t>yes</t>
        </is>
      </c>
      <c r="I47" s="4" t="inlineStr">
        <is>
          <t>medium</t>
        </is>
      </c>
      <c r="J47" s="4" t="inlineStr">
        <is>
          <t>pending</t>
        </is>
      </c>
      <c r="K47" s="3" t="inlineStr">
        <is>
          <t>MF NPs after freeze-drying with 4% w/v mannitol as cryoprotectant. Characterization data (mean ± s.d.) from Table 2. Sf/Si ratio was 1.78.</t>
        </is>
      </c>
      <c r="L47">
        <f>IF(OR($F47="",$H47="",$I47="",$J47=""),"missing_required","")</f>
        <v/>
      </c>
      <c r="M47">
        <f>IF(COUNTIFS($A:$A,$A47,$D:$D,$D47)&gt;1,"duplicate_id","")</f>
        <v/>
      </c>
    </row>
    <row r="48">
      <c r="A48" t="inlineStr">
        <is>
          <t>7ZS858NS</t>
        </is>
      </c>
      <c r="B48" t="inlineStr">
        <is>
          <t>10.1021/acsomega.0c00111</t>
        </is>
      </c>
      <c r="C48" s="2" t="inlineStr">
        <is>
          <t>Developing Biodegradable Nanoparticles Loaded with Mometasone Furoate for Potential Nasal Drug Delivery</t>
        </is>
      </c>
      <c r="D48" t="inlineStr">
        <is>
          <t>6</t>
        </is>
      </c>
      <c r="E48" s="3" t="inlineStr">
        <is>
          <t>mometasone furoate</t>
        </is>
      </c>
      <c r="F48" s="4" t="inlineStr">
        <is>
          <t>text_described</t>
        </is>
      </c>
      <c r="G48" s="3" t="inlineStr">
        <is>
          <t>fulltext</t>
        </is>
      </c>
      <c r="H48" s="4" t="inlineStr">
        <is>
          <t>yes</t>
        </is>
      </c>
      <c r="I48" s="4" t="inlineStr">
        <is>
          <t>medium</t>
        </is>
      </c>
      <c r="J48" s="4" t="inlineStr">
        <is>
          <t>pending</t>
        </is>
      </c>
      <c r="K48" s="3" t="inlineStr">
        <is>
          <t>MF NPs after freeze-drying with 6% w/v mannitol as cryoprotectant. Characterization data (mean ± s.d.) from Table 2. Sf/Si ratio was 2.18.</t>
        </is>
      </c>
      <c r="L48">
        <f>IF(OR($F48="",$H48="",$I48="",$J48=""),"missing_required","")</f>
        <v/>
      </c>
      <c r="M48">
        <f>IF(COUNTIFS($A:$A,$A48,$D:$D,$D48)&gt;1,"duplicate_id","")</f>
        <v/>
      </c>
    </row>
    <row r="49">
      <c r="A49" t="inlineStr">
        <is>
          <t>7ZS858NS</t>
        </is>
      </c>
      <c r="B49" t="inlineStr">
        <is>
          <t>10.1021/acsomega.0c00111</t>
        </is>
      </c>
      <c r="C49" s="2" t="inlineStr">
        <is>
          <t>Developing Biodegradable Nanoparticles Loaded with Mometasone Furoate for Potential Nasal Drug Delivery</t>
        </is>
      </c>
      <c r="D49" t="inlineStr">
        <is>
          <t>7</t>
        </is>
      </c>
      <c r="E49" s="3" t="inlineStr">
        <is>
          <t>mometasone furoate</t>
        </is>
      </c>
      <c r="F49" s="4" t="inlineStr">
        <is>
          <t>text_described</t>
        </is>
      </c>
      <c r="G49" s="3" t="inlineStr">
        <is>
          <t>fulltext</t>
        </is>
      </c>
      <c r="H49" s="4" t="inlineStr">
        <is>
          <t>yes</t>
        </is>
      </c>
      <c r="I49" s="4" t="inlineStr">
        <is>
          <t>medium</t>
        </is>
      </c>
      <c r="J49" s="4" t="inlineStr">
        <is>
          <t>pending</t>
        </is>
      </c>
      <c r="K49" s="3" t="inlineStr">
        <is>
          <t>MF NPs after freeze-drying with 8% w/v mannitol as cryoprotectant. Characterization data (mean ± s.d.) from Table 2. Sf/Si ratio was 1.75.</t>
        </is>
      </c>
      <c r="L49">
        <f>IF(OR($F49="",$H49="",$I49="",$J49=""),"missing_required","")</f>
        <v/>
      </c>
      <c r="M49">
        <f>IF(COUNTIFS($A:$A,$A49,$D:$D,$D49)&gt;1,"duplicate_id","")</f>
        <v/>
      </c>
    </row>
    <row r="50">
      <c r="A50" t="inlineStr">
        <is>
          <t>BB3JUVW7</t>
        </is>
      </c>
      <c r="B50" t="inlineStr">
        <is>
          <t>10.1016/j.ijpharm.2021.120820</t>
        </is>
      </c>
      <c r="C50" s="2" t="inlineStr">
        <is>
          <t>Fabrication and evaluation of artemether loaded polymeric nanorods obtained by mechanical stretching of nanospheres</t>
        </is>
      </c>
      <c r="D50" t="inlineStr">
        <is>
          <t>1</t>
        </is>
      </c>
      <c r="E50" s="3" t="inlineStr">
        <is>
          <t>Artemether</t>
        </is>
      </c>
      <c r="F50" s="4" t="inlineStr">
        <is>
          <t>text_described</t>
        </is>
      </c>
      <c r="G50" s="3" t="inlineStr">
        <is>
          <t>fulltext</t>
        </is>
      </c>
      <c r="H50" s="4" t="inlineStr">
        <is>
          <t>yes</t>
        </is>
      </c>
      <c r="I50" s="4" t="inlineStr">
        <is>
          <t>medium</t>
        </is>
      </c>
      <c r="J50" s="4" t="inlineStr">
        <is>
          <t>pending</t>
        </is>
      </c>
      <c r="K50" s="3" t="inlineStr">
        <is>
          <t>Nanosphere formulation. Composition details: Artemether (5 mg), PLGA (75 mg), PVA (75 mg), Acetone (5 mL), Aqueous phase (15 mL). Particle size: 190.2 ± 18.0 nm, PDI: 0.06 ± 0.01, Zeta potential: -8.0 ± 0.58 mV, EE: 78.5 ± 1.8%, DL: 4.9 ± 0.1%. All numeric values are mean ± SD where applicable.</t>
        </is>
      </c>
      <c r="L50">
        <f>IF(OR($F50="",$H50="",$I50="",$J50=""),"missing_required","")</f>
        <v/>
      </c>
      <c r="M50">
        <f>IF(COUNTIFS($A:$A,$A50,$D:$D,$D50)&gt;1,"duplicate_id","")</f>
        <v/>
      </c>
    </row>
    <row r="51">
      <c r="A51" t="inlineStr">
        <is>
          <t>BB3JUVW7</t>
        </is>
      </c>
      <c r="B51" t="inlineStr">
        <is>
          <t>10.1016/j.ijpharm.2021.120820</t>
        </is>
      </c>
      <c r="C51" s="2" t="inlineStr">
        <is>
          <t>Fabrication and evaluation of artemether loaded polymeric nanorods obtained by mechanical stretching of nanospheres</t>
        </is>
      </c>
      <c r="D51" t="inlineStr">
        <is>
          <t>10</t>
        </is>
      </c>
      <c r="E51" s="3" t="inlineStr">
        <is>
          <t>Artemether</t>
        </is>
      </c>
      <c r="F51" s="4" t="inlineStr">
        <is>
          <t>text_described</t>
        </is>
      </c>
      <c r="G51" s="3" t="inlineStr">
        <is>
          <t>fulltext</t>
        </is>
      </c>
      <c r="H51" s="4" t="inlineStr">
        <is>
          <t>yes</t>
        </is>
      </c>
      <c r="I51" s="4" t="inlineStr">
        <is>
          <t>medium</t>
        </is>
      </c>
      <c r="J51" s="4" t="inlineStr">
        <is>
          <t>pending</t>
        </is>
      </c>
      <c r="K51" s="3" t="inlineStr">
        <is>
          <t>Nanorod derived from nanospheres. Size reported as Major axis: 241.7 ± 76.3 nm. Other dimensions: Minor axis = 140.1 ± 31.3 nm, Aspect Ratio (AR) = 1.7 ± 0.3, Feret’s diameter = 294.0 ± 85.8 nm, Minor Feret’s diameter = 157.6 ± 32.8 nm. Drug content: 0.9 µg/mg. Process conditions for nanorod formation: Film thickness = 100 µm, Extent of stretching = 4x, Liquefaction method = Heat*, Incubation period = 5 min. The precursor nanospheres were likely prepared by solvent evaporation. All numeric values are mean ± SD where applicable.</t>
        </is>
      </c>
      <c r="L51">
        <f>IF(OR($F51="",$H51="",$I51="",$J51=""),"missing_required","")</f>
        <v/>
      </c>
      <c r="M51">
        <f>IF(COUNTIFS($A:$A,$A51,$D:$D,$D51)&gt;1,"duplicate_id","")</f>
        <v/>
      </c>
    </row>
    <row r="52">
      <c r="A52" t="inlineStr">
        <is>
          <t>BB3JUVW7</t>
        </is>
      </c>
      <c r="B52" t="inlineStr">
        <is>
          <t>10.1016/j.ijpharm.2021.120820</t>
        </is>
      </c>
      <c r="C52" s="2" t="inlineStr">
        <is>
          <t>Fabrication and evaluation of artemether loaded polymeric nanorods obtained by mechanical stretching of nanospheres</t>
        </is>
      </c>
      <c r="D52" t="inlineStr">
        <is>
          <t>11</t>
        </is>
      </c>
      <c r="E52" s="3" t="inlineStr">
        <is>
          <t>Artemether</t>
        </is>
      </c>
      <c r="F52" s="4" t="inlineStr">
        <is>
          <t>text_described</t>
        </is>
      </c>
      <c r="G52" s="3" t="inlineStr">
        <is>
          <t>fulltext</t>
        </is>
      </c>
      <c r="H52" s="4" t="inlineStr">
        <is>
          <t>yes</t>
        </is>
      </c>
      <c r="I52" s="4" t="inlineStr">
        <is>
          <t>medium</t>
        </is>
      </c>
      <c r="J52" s="4" t="inlineStr">
        <is>
          <t>pending</t>
        </is>
      </c>
      <c r="K52" s="3" t="inlineStr">
        <is>
          <t>Nanorod derived from nanospheres. Size reported as Major axis: 329.6 ± 79.3 nm. Other dimensions: Minor axis = 92.2 ± 14.9 nm, Aspect Ratio (AR) = 3.6 ± 0.7, Feret’s diameter = 343.0 ± 79.7 nm, Minor Feret’s diameter = 98.9 ± 17.8 nm. Drug content: 0.8 µg/mg. Process conditions for nanorod formation: Film thickness = 100 µm, Extent of stretching = 2x, Liquefaction method = Heat*, Incubation period = 15 min. The precursor nanospheres were likely prepared by solvent evaporation. All numeric values are mean ± SD where applicable.</t>
        </is>
      </c>
      <c r="L52">
        <f>IF(OR($F52="",$H52="",$I52="",$J52=""),"missing_required","")</f>
        <v/>
      </c>
      <c r="M52">
        <f>IF(COUNTIFS($A:$A,$A52,$D:$D,$D52)&gt;1,"duplicate_id","")</f>
        <v/>
      </c>
    </row>
    <row r="53">
      <c r="A53" t="inlineStr">
        <is>
          <t>BB3JUVW7</t>
        </is>
      </c>
      <c r="B53" t="inlineStr">
        <is>
          <t>10.1016/j.ijpharm.2021.120820</t>
        </is>
      </c>
      <c r="C53" s="2" t="inlineStr">
        <is>
          <t>Fabrication and evaluation of artemether loaded polymeric nanorods obtained by mechanical stretching of nanospheres</t>
        </is>
      </c>
      <c r="D53" t="inlineStr">
        <is>
          <t>12</t>
        </is>
      </c>
      <c r="E53" s="3" t="inlineStr">
        <is>
          <t>Artemether</t>
        </is>
      </c>
      <c r="F53" s="4" t="inlineStr">
        <is>
          <t>text_described</t>
        </is>
      </c>
      <c r="G53" s="3" t="inlineStr">
        <is>
          <t>fulltext</t>
        </is>
      </c>
      <c r="H53" s="4" t="inlineStr">
        <is>
          <t>yes</t>
        </is>
      </c>
      <c r="I53" s="4" t="inlineStr">
        <is>
          <t>medium</t>
        </is>
      </c>
      <c r="J53" s="4" t="inlineStr">
        <is>
          <t>pending</t>
        </is>
      </c>
      <c r="K53" s="3" t="inlineStr">
        <is>
          <t>Nanorod derived from nanospheres. Size reported as Major axis: 510.7 ± 114.6 nm. Other dimensions: Minor axis = 102.0 ± 23.7 nm, Aspect Ratio (AR) = 5.1 ± 0.9, Feret’s diameter = 559.5 ± 102.8 nm, Minor Feret’s diameter = 119.3 ± 28.8 nm. Drug content: 3.2 µg/mg. Process conditions for nanorod formation: Film thickness = 100 µm, Extent of stretching = 4x, Liquefaction method = Heat*, Incubation period = 15 min. The precursor nanospheres were likely prepared by solvent evaporation. All numeric values are mean ± SD where applicable.</t>
        </is>
      </c>
      <c r="L53">
        <f>IF(OR($F53="",$H53="",$I53="",$J53=""),"missing_required","")</f>
        <v/>
      </c>
      <c r="M53">
        <f>IF(COUNTIFS($A:$A,$A53,$D:$D,$D53)&gt;1,"duplicate_id","")</f>
        <v/>
      </c>
    </row>
    <row r="54">
      <c r="A54" t="inlineStr">
        <is>
          <t>BB3JUVW7</t>
        </is>
      </c>
      <c r="B54" t="inlineStr">
        <is>
          <t>10.1016/j.ijpharm.2021.120820</t>
        </is>
      </c>
      <c r="C54" s="2" t="inlineStr">
        <is>
          <t>Fabrication and evaluation of artemether loaded polymeric nanorods obtained by mechanical stretching of nanospheres</t>
        </is>
      </c>
      <c r="D54" t="inlineStr">
        <is>
          <t>2</t>
        </is>
      </c>
      <c r="E54" s="3" t="inlineStr">
        <is>
          <t>Artemether</t>
        </is>
      </c>
      <c r="F54" s="4" t="inlineStr">
        <is>
          <t>text_described</t>
        </is>
      </c>
      <c r="G54" s="3" t="inlineStr">
        <is>
          <t>fulltext</t>
        </is>
      </c>
      <c r="H54" s="4" t="inlineStr">
        <is>
          <t>yes</t>
        </is>
      </c>
      <c r="I54" s="4" t="inlineStr">
        <is>
          <t>medium</t>
        </is>
      </c>
      <c r="J54" s="4" t="inlineStr">
        <is>
          <t>pending</t>
        </is>
      </c>
      <c r="K54" s="3" t="inlineStr">
        <is>
          <t>Nanosphere formulation. Composition details: Artemether (5 mg), PLGA (75 mg), PVA (150 mg), Acetone (5 mL), Aqueous phase (15 mL). Particle size: 214.3 ± 6.2 nm, PDI: 0.238, Zeta potential: -1.8 ± 0.22 mV, EE: 80.0 ± 0.1%, DL: 5.0 ± 0.0%. All numeric values are mean ± SD where applicable.</t>
        </is>
      </c>
      <c r="L54">
        <f>IF(OR($F54="",$H54="",$I54="",$J54=""),"missing_required","")</f>
        <v/>
      </c>
      <c r="M54">
        <f>IF(COUNTIFS($A:$A,$A54,$D:$D,$D54)&gt;1,"duplicate_id","")</f>
        <v/>
      </c>
    </row>
    <row r="55">
      <c r="A55" t="inlineStr">
        <is>
          <t>BB3JUVW7</t>
        </is>
      </c>
      <c r="B55" t="inlineStr">
        <is>
          <t>10.1016/j.ijpharm.2021.120820</t>
        </is>
      </c>
      <c r="C55" s="2" t="inlineStr">
        <is>
          <t>Fabrication and evaluation of artemether loaded polymeric nanorods obtained by mechanical stretching of nanospheres</t>
        </is>
      </c>
      <c r="D55" t="inlineStr">
        <is>
          <t>3</t>
        </is>
      </c>
      <c r="E55" s="3" t="inlineStr">
        <is>
          <t>Artemether</t>
        </is>
      </c>
      <c r="F55" s="4" t="inlineStr">
        <is>
          <t>text_described</t>
        </is>
      </c>
      <c r="G55" s="3" t="inlineStr">
        <is>
          <t>fulltext</t>
        </is>
      </c>
      <c r="H55" s="4" t="inlineStr">
        <is>
          <t>yes</t>
        </is>
      </c>
      <c r="I55" s="4" t="inlineStr">
        <is>
          <t>medium</t>
        </is>
      </c>
      <c r="J55" s="4" t="inlineStr">
        <is>
          <t>pending</t>
        </is>
      </c>
      <c r="K55" s="3" t="inlineStr">
        <is>
          <t>Nanosphere formulation. Composition details: Artemether (10 mg), PLGA (75 mg), PVA (300 mg), Acetone (10 mL), Aqueous phase (30 mL). Particle size: 196.8 ± 1.1 nm, PDI: 0.214, Zeta potential: -2.2 ± 0.16 mV, EE: 78.3 ± 0.0%, DL: 9.2 ± 0.0%. All numeric values are mean ± SD where applicable.</t>
        </is>
      </c>
      <c r="L55">
        <f>IF(OR($F55="",$H55="",$I55="",$J55=""),"missing_required","")</f>
        <v/>
      </c>
      <c r="M55">
        <f>IF(COUNTIFS($A:$A,$A55,$D:$D,$D55)&gt;1,"duplicate_id","")</f>
        <v/>
      </c>
    </row>
    <row r="56">
      <c r="A56" t="inlineStr">
        <is>
          <t>BB3JUVW7</t>
        </is>
      </c>
      <c r="B56" t="inlineStr">
        <is>
          <t>10.1016/j.ijpharm.2021.120820</t>
        </is>
      </c>
      <c r="C56" s="2" t="inlineStr">
        <is>
          <t>Fabrication and evaluation of artemether loaded polymeric nanorods obtained by mechanical stretching of nanospheres</t>
        </is>
      </c>
      <c r="D56" t="inlineStr">
        <is>
          <t>4</t>
        </is>
      </c>
      <c r="E56" s="3" t="inlineStr">
        <is>
          <t>Artemether</t>
        </is>
      </c>
      <c r="F56" s="4" t="inlineStr">
        <is>
          <t>text_described</t>
        </is>
      </c>
      <c r="G56" s="3" t="inlineStr">
        <is>
          <t>fulltext</t>
        </is>
      </c>
      <c r="H56" s="4" t="inlineStr">
        <is>
          <t>yes</t>
        </is>
      </c>
      <c r="I56" s="4" t="inlineStr">
        <is>
          <t>medium</t>
        </is>
      </c>
      <c r="J56" s="4" t="inlineStr">
        <is>
          <t>pending</t>
        </is>
      </c>
      <c r="K56" s="3" t="inlineStr">
        <is>
          <t>Nanosphere formulation. Composition details: Artemether (10 mg), PLGA (75 mg), PVA (150 mg), Acetone (10 mL), Aqueous phase (30 mL). Particle size: 245.5 ± 44.5 nm, PDI: 0.183, Zeta potential: -3.2 ± 0.24 mV, EE: 80.6 ± 0.4%, DL: 9.5 ± 0.0%. All numeric values are mean ± SD where applicable.</t>
        </is>
      </c>
      <c r="L56">
        <f>IF(OR($F56="",$H56="",$I56="",$J56=""),"missing_required","")</f>
        <v/>
      </c>
      <c r="M56">
        <f>IF(COUNTIFS($A:$A,$A56,$D:$D,$D56)&gt;1,"duplicate_id","")</f>
        <v/>
      </c>
    </row>
    <row r="57">
      <c r="A57" t="inlineStr">
        <is>
          <t>BB3JUVW7</t>
        </is>
      </c>
      <c r="B57" t="inlineStr">
        <is>
          <t>10.1016/j.ijpharm.2021.120820</t>
        </is>
      </c>
      <c r="C57" s="2" t="inlineStr">
        <is>
          <t>Fabrication and evaluation of artemether loaded polymeric nanorods obtained by mechanical stretching of nanospheres</t>
        </is>
      </c>
      <c r="D57" t="inlineStr">
        <is>
          <t>5</t>
        </is>
      </c>
      <c r="E57" s="3" t="inlineStr">
        <is>
          <t>Artemether</t>
        </is>
      </c>
      <c r="F57" s="4" t="inlineStr">
        <is>
          <t>text_described</t>
        </is>
      </c>
      <c r="G57" s="3" t="inlineStr">
        <is>
          <t>fulltext</t>
        </is>
      </c>
      <c r="H57" s="4" t="inlineStr">
        <is>
          <t>yes</t>
        </is>
      </c>
      <c r="I57" s="4" t="inlineStr">
        <is>
          <t>medium</t>
        </is>
      </c>
      <c r="J57" s="4" t="inlineStr">
        <is>
          <t>pending</t>
        </is>
      </c>
      <c r="K57" s="3" t="inlineStr">
        <is>
          <t>Nanosphere formulation. Composition details: Artemether (10 mg), PLGA (75 mg), PVA (150 mg), Acetone (15 mL), Aqueous phase (30 mL). Particle size: 129.3 ± 3.6 nm, PDI: 0.06 ± 0.01, Zeta potential: -7.4 ± 0.69 mV, EE: 86.9 ± 0.2%, DL: 10.2 ± 0.0%. All numeric values are mean ± SD where applicable.</t>
        </is>
      </c>
      <c r="L57">
        <f>IF(OR($F57="",$H57="",$I57="",$J57=""),"missing_required","")</f>
        <v/>
      </c>
      <c r="M57">
        <f>IF(COUNTIFS($A:$A,$A57,$D:$D,$D57)&gt;1,"duplicate_id","")</f>
        <v/>
      </c>
    </row>
    <row r="58">
      <c r="A58" t="inlineStr">
        <is>
          <t>BB3JUVW7</t>
        </is>
      </c>
      <c r="B58" t="inlineStr">
        <is>
          <t>10.1016/j.ijpharm.2021.120820</t>
        </is>
      </c>
      <c r="C58" s="2" t="inlineStr">
        <is>
          <t>Fabrication and evaluation of artemether loaded polymeric nanorods obtained by mechanical stretching of nanospheres</t>
        </is>
      </c>
      <c r="D58" t="inlineStr">
        <is>
          <t>6</t>
        </is>
      </c>
      <c r="E58" s="3" t="inlineStr">
        <is>
          <t>Artemether</t>
        </is>
      </c>
      <c r="F58" s="4" t="inlineStr">
        <is>
          <t>text_described</t>
        </is>
      </c>
      <c r="G58" s="3" t="inlineStr">
        <is>
          <t>fulltext</t>
        </is>
      </c>
      <c r="H58" s="4" t="inlineStr">
        <is>
          <t>yes</t>
        </is>
      </c>
      <c r="I58" s="4" t="inlineStr">
        <is>
          <t>medium</t>
        </is>
      </c>
      <c r="J58" s="4" t="inlineStr">
        <is>
          <t>pending</t>
        </is>
      </c>
      <c r="K58" s="3" t="inlineStr">
        <is>
          <t>Nanorod derived from nanospheres. Size reported as Major axis: 234.1 ± 61.7 nm. Other dimensions: Minor axis = 61.3 ± 8.7 nm, Aspect Ratio (AR) = 3.8 ± 0.8, Feret’s diameter = 237.2 ± 61.9 nm, Minor Feret’s diameter = 77.8 ± 13.3 nm. Drug content: 1.8 µg/mg. Process conditions for nanorod formation: Film thickness = 100 µm, Extent of stretching = 4x, Liquefaction method = Acetone, Incubation period = 15 min. The precursor nanospheres were likely prepared by solvent evaporation. All numeric values are mean ± SD where applicable.</t>
        </is>
      </c>
      <c r="L58">
        <f>IF(OR($F58="",$H58="",$I58="",$J58=""),"missing_required","")</f>
        <v/>
      </c>
      <c r="M58">
        <f>IF(COUNTIFS($A:$A,$A58,$D:$D,$D58)&gt;1,"duplicate_id","")</f>
        <v/>
      </c>
    </row>
    <row r="59">
      <c r="A59" t="inlineStr">
        <is>
          <t>BB3JUVW7</t>
        </is>
      </c>
      <c r="B59" t="inlineStr">
        <is>
          <t>10.1016/j.ijpharm.2021.120820</t>
        </is>
      </c>
      <c r="C59" s="2" t="inlineStr">
        <is>
          <t>Fabrication and evaluation of artemether loaded polymeric nanorods obtained by mechanical stretching of nanospheres</t>
        </is>
      </c>
      <c r="D59" t="inlineStr">
        <is>
          <t>7</t>
        </is>
      </c>
      <c r="E59" s="3" t="inlineStr">
        <is>
          <t>Artemether</t>
        </is>
      </c>
      <c r="F59" s="4" t="inlineStr">
        <is>
          <t>text_described</t>
        </is>
      </c>
      <c r="G59" s="3" t="inlineStr">
        <is>
          <t>fulltext</t>
        </is>
      </c>
      <c r="H59" s="4" t="inlineStr">
        <is>
          <t>yes</t>
        </is>
      </c>
      <c r="I59" s="4" t="inlineStr">
        <is>
          <t>medium</t>
        </is>
      </c>
      <c r="J59" s="4" t="inlineStr">
        <is>
          <t>pending</t>
        </is>
      </c>
      <c r="K59" s="3" t="inlineStr">
        <is>
          <t>Nanorod derived from nanospheres. Size reported as Major axis: 295.1 ± 64.9 nm. Other dimensions: Minor axis = 58.1 ± 12.0 nm, Aspect Ratio (AR) = 5.1 ± 0.8, Feret’s diameter = 265.4 ± 66.3 nm, Minor Feret’s diameter = 59.6 ± 15.2 nm. Drug content: 1.4 µg/mg. Process conditions for nanorod formation: Film thickness = 150 µm, Extent of stretching = 4x, Liquefaction method = Acetone, Incubation period = 15 min. The precursor nanospheres were likely prepared by solvent evaporation. All numeric values are mean ± SD where applicable.</t>
        </is>
      </c>
      <c r="L59">
        <f>IF(OR($F59="",$H59="",$I59="",$J59=""),"missing_required","")</f>
        <v/>
      </c>
      <c r="M59">
        <f>IF(COUNTIFS($A:$A,$A59,$D:$D,$D59)&gt;1,"duplicate_id","")</f>
        <v/>
      </c>
    </row>
    <row r="60">
      <c r="A60" t="inlineStr">
        <is>
          <t>BB3JUVW7</t>
        </is>
      </c>
      <c r="B60" t="inlineStr">
        <is>
          <t>10.1016/j.ijpharm.2021.120820</t>
        </is>
      </c>
      <c r="C60" s="2" t="inlineStr">
        <is>
          <t>Fabrication and evaluation of artemether loaded polymeric nanorods obtained by mechanical stretching of nanospheres</t>
        </is>
      </c>
      <c r="D60" t="inlineStr">
        <is>
          <t>8</t>
        </is>
      </c>
      <c r="E60" s="3" t="inlineStr">
        <is>
          <t>Artemether</t>
        </is>
      </c>
      <c r="F60" s="4" t="inlineStr">
        <is>
          <t>text_described</t>
        </is>
      </c>
      <c r="G60" s="3" t="inlineStr">
        <is>
          <t>fulltext</t>
        </is>
      </c>
      <c r="H60" s="4" t="inlineStr">
        <is>
          <t>yes</t>
        </is>
      </c>
      <c r="I60" s="4" t="inlineStr">
        <is>
          <t>medium</t>
        </is>
      </c>
      <c r="J60" s="4" t="inlineStr">
        <is>
          <t>pending</t>
        </is>
      </c>
      <c r="K60" s="3" t="inlineStr">
        <is>
          <t>Nanorod derived from nanospheres. Size reported as Major axis: 211.3 ± 44.1 nm. Other dimensions: Minor axis = 61.1 ± 11.6 nm, Aspect Ratio (AR) = 3.5 ± 0.7, Feret’s diameter = 198.1 ± 37.5 nm, Minor Feret’s diameter = 67.7 ± 10.4 nm. Drug content: 2.6 µg/mg. Process conditions for nanorod formation: Film thickness = 100 µm, Extent of stretching = 4x, Liquefaction method = Acetone, Incubation period = 15 min. The precursor nanospheres were likely prepared by solvent evaporation. All numeric values are mean ± SD where applicable.</t>
        </is>
      </c>
      <c r="L60">
        <f>IF(OR($F60="",$H60="",$I60="",$J60=""),"missing_required","")</f>
        <v/>
      </c>
      <c r="M60">
        <f>IF(COUNTIFS($A:$A,$A60,$D:$D,$D60)&gt;1,"duplicate_id","")</f>
        <v/>
      </c>
    </row>
    <row r="61">
      <c r="A61" t="inlineStr">
        <is>
          <t>BB3JUVW7</t>
        </is>
      </c>
      <c r="B61" t="inlineStr">
        <is>
          <t>10.1016/j.ijpharm.2021.120820</t>
        </is>
      </c>
      <c r="C61" s="2" t="inlineStr">
        <is>
          <t>Fabrication and evaluation of artemether loaded polymeric nanorods obtained by mechanical stretching of nanospheres</t>
        </is>
      </c>
      <c r="D61" t="inlineStr">
        <is>
          <t>9</t>
        </is>
      </c>
      <c r="E61" s="3" t="inlineStr">
        <is>
          <t>Artemether</t>
        </is>
      </c>
      <c r="F61" s="4" t="inlineStr">
        <is>
          <t>text_described</t>
        </is>
      </c>
      <c r="G61" s="3" t="inlineStr">
        <is>
          <t>fulltext</t>
        </is>
      </c>
      <c r="H61" s="4" t="inlineStr">
        <is>
          <t>yes</t>
        </is>
      </c>
      <c r="I61" s="4" t="inlineStr">
        <is>
          <t>medium</t>
        </is>
      </c>
      <c r="J61" s="4" t="inlineStr">
        <is>
          <t>pending</t>
        </is>
      </c>
      <c r="K61" s="3" t="inlineStr">
        <is>
          <t>Nanorod derived from nanospheres. Size reported as Major axis: 128.1 ± 23.1 nm. Other dimensions: Minor axis = 61.5 ± 10.3 nm, Aspect Ratio (AR) = 2.1 ± 0.3, Feret’s diameter = 127.5 ± 22.9 nm, Minor Feret’s diameter = 61.3 ± 10.4 nm. Drug content: 1.6 µg/mg. Process conditions for nanorod formation: Film thickness = 100 µm, Extent of stretching = 2x, Liquefaction method = Acetone, Incubation period = 15 min. The precursor nanospheres were likely prepared by solvent evaporation. All numeric values are mean ± SD where applicable.</t>
        </is>
      </c>
      <c r="L61">
        <f>IF(OR($F61="",$H61="",$I61="",$J61=""),"missing_required","")</f>
        <v/>
      </c>
      <c r="M61">
        <f>IF(COUNTIFS($A:$A,$A61,$D:$D,$D61)&gt;1,"duplicate_id","")</f>
        <v/>
      </c>
    </row>
    <row r="62">
      <c r="A62" t="inlineStr">
        <is>
          <t>BXCV5XWB</t>
        </is>
      </c>
      <c r="B62" t="inlineStr">
        <is>
          <t>10.1007/s10439-019-02430-x</t>
        </is>
      </c>
      <c r="C62" s="2" t="inlineStr">
        <is>
          <t>Effects of Nanoparticle Properties on Kartogenin Delivery and Interactions with Mesenchymal Stem Cells</t>
        </is>
      </c>
      <c r="D62" t="inlineStr">
        <is>
          <t>1</t>
        </is>
      </c>
      <c r="E62" s="3" t="inlineStr">
        <is>
          <t>Kartogenin</t>
        </is>
      </c>
      <c r="F62" s="4" t="inlineStr">
        <is>
          <t>text_described</t>
        </is>
      </c>
      <c r="G62" s="3" t="inlineStr">
        <is>
          <t>fulltext</t>
        </is>
      </c>
      <c r="H62" s="4" t="inlineStr">
        <is>
          <t>yes</t>
        </is>
      </c>
      <c r="I62" s="4" t="inlineStr">
        <is>
          <t>medium</t>
        </is>
      </c>
      <c r="J62" s="4" t="inlineStr">
        <is>
          <t>pending</t>
        </is>
      </c>
      <c r="K62" s="3" t="inlineStr">
        <is>
          <t>Formulated as KGN-loaded poly(lactic acid-co-glycolic acid) (PLGA) nanoparticles. Described as having a hydrophobic surface and negative charge. Highest drug loading among the formulations. ζ potential (-33.1 mV) is within the region of stability.</t>
        </is>
      </c>
      <c r="L62">
        <f>IF(OR($F62="",$H62="",$I62="",$J62=""),"missing_required","")</f>
        <v/>
      </c>
      <c r="M62">
        <f>IF(COUNTIFS($A:$A,$A62,$D:$D,$D62)&gt;1,"duplicate_id","")</f>
        <v/>
      </c>
    </row>
    <row r="63">
      <c r="A63" t="inlineStr">
        <is>
          <t>BXCV5XWB</t>
        </is>
      </c>
      <c r="B63" t="inlineStr">
        <is>
          <t>10.1007/s10439-019-02430-x</t>
        </is>
      </c>
      <c r="C63" s="2" t="inlineStr">
        <is>
          <t>Effects of Nanoparticle Properties on Kartogenin Delivery and Interactions with Mesenchymal Stem Cells</t>
        </is>
      </c>
      <c r="D63" t="inlineStr">
        <is>
          <t>2</t>
        </is>
      </c>
      <c r="E63" s="3" t="inlineStr">
        <is>
          <t>Kartogenin</t>
        </is>
      </c>
      <c r="F63" s="4" t="inlineStr">
        <is>
          <t>text_described</t>
        </is>
      </c>
      <c r="G63" s="3" t="inlineStr">
        <is>
          <t>fulltext</t>
        </is>
      </c>
      <c r="H63" s="4" t="inlineStr">
        <is>
          <t>yes</t>
        </is>
      </c>
      <c r="I63" s="4" t="inlineStr">
        <is>
          <t>medium</t>
        </is>
      </c>
      <c r="J63" s="4" t="inlineStr">
        <is>
          <t>pending</t>
        </is>
      </c>
      <c r="K63" s="3" t="inlineStr">
        <is>
          <t>Formulated as KGN-loaded PLGA–poly(ethylene glycol) (PLGA–PEG) nanoparticles. Described as having a hydrophilic surface and positive charge. PLGA–PEG copolymer synthesized using PEG-bis-amine (MW 2 kDa). ζ potential (11.2 mV) is within the instability regime, which is suggested to explain an observed large increase in hydrodynamic diameter over 7 days at both 4 and 37 °C.</t>
        </is>
      </c>
      <c r="L63">
        <f>IF(OR($F63="",$H63="",$I63="",$J63=""),"missing_required","")</f>
        <v/>
      </c>
      <c r="M63">
        <f>IF(COUNTIFS($A:$A,$A63,$D:$D,$D63)&gt;1,"duplicate_id","")</f>
        <v/>
      </c>
    </row>
    <row r="64">
      <c r="A64" t="inlineStr">
        <is>
          <t>BXCV5XWB</t>
        </is>
      </c>
      <c r="B64" t="inlineStr">
        <is>
          <t>10.1007/s10439-019-02430-x</t>
        </is>
      </c>
      <c r="C64" s="2" t="inlineStr">
        <is>
          <t>Effects of Nanoparticle Properties on Kartogenin Delivery and Interactions with Mesenchymal Stem Cells</t>
        </is>
      </c>
      <c r="D64" t="inlineStr">
        <is>
          <t>3</t>
        </is>
      </c>
      <c r="E64" s="3" t="inlineStr">
        <is>
          <t>Kartogenin</t>
        </is>
      </c>
      <c r="F64" s="4" t="inlineStr">
        <is>
          <t>text_described</t>
        </is>
      </c>
      <c r="G64" s="3" t="inlineStr">
        <is>
          <t>fulltext</t>
        </is>
      </c>
      <c r="H64" s="4" t="inlineStr">
        <is>
          <t>yes</t>
        </is>
      </c>
      <c r="I64" s="4" t="inlineStr">
        <is>
          <t>medium</t>
        </is>
      </c>
      <c r="J64" s="4" t="inlineStr">
        <is>
          <t>pending</t>
        </is>
      </c>
      <c r="K64" s="3" t="inlineStr">
        <is>
          <t>Formulated as KGN-loaded PLGA–PEG–hyaluronic acid (PLGA–PEG–HA) nanoparticles. Described as having a hydrophilic surface and negative charge. HA (sodium salt, MW 39 kDa) was conjugated to pre-formed KGN-loaded PLGA–PEG nanoparticles at a 3:1 w/w HA:nanoparticle ratio. HA content of ~36% of particle mass was observed. ζ potential (-28.5 mV) is close to the approximate cut-off for stable colloidal suspensions, potentially contributing to an observed increase in PDI but not diameter over 7 days at 37 °C without centrifugation.</t>
        </is>
      </c>
      <c r="L64">
        <f>IF(OR($F64="",$H64="",$I64="",$J64=""),"missing_required","")</f>
        <v/>
      </c>
      <c r="M64">
        <f>IF(COUNTIFS($A:$A,$A64,$D:$D,$D64)&gt;1,"duplicate_id","")</f>
        <v/>
      </c>
    </row>
    <row r="65">
      <c r="A65" t="inlineStr">
        <is>
          <t>INMUTV7L</t>
        </is>
      </c>
      <c r="B65" t="inlineStr">
        <is>
          <t>10.3390/nano10040720</t>
        </is>
      </c>
      <c r="C65" s="2" t="inlineStr">
        <is>
          <t>Dexibuprofen Biodegradable Nanoparticles: One Step Closer towards a Better Ocular Interaction Study</t>
        </is>
      </c>
      <c r="D65" t="inlineStr">
        <is>
          <t>1</t>
        </is>
      </c>
      <c r="E65" s="3" t="inlineStr">
        <is>
          <t>dexibuprofen</t>
        </is>
      </c>
      <c r="F65" s="4" t="inlineStr">
        <is>
          <t>text_described</t>
        </is>
      </c>
      <c r="G65" s="3" t="inlineStr">
        <is>
          <t>fulltext</t>
        </is>
      </c>
      <c r="H65" s="4" t="inlineStr">
        <is>
          <t>yes</t>
        </is>
      </c>
      <c r="I65" s="4" t="inlineStr">
        <is>
          <t>medium</t>
        </is>
      </c>
      <c r="J65" s="4" t="inlineStr">
        <is>
          <t>pending</t>
        </is>
      </c>
      <c r="K65" s="3" t="inlineStr">
        <is>
          <t>Polymer type 'PLGA 503 H'. The la_ga_ratio and plga_mw_kDa are inferred from the '503 H' product code commonly associated with Boehringer Ingelheim PLGA polymers.</t>
        </is>
      </c>
      <c r="L65">
        <f>IF(OR($F65="",$H65="",$I65="",$J65=""),"missing_required","")</f>
        <v/>
      </c>
      <c r="M65">
        <f>IF(COUNTIFS($A:$A,$A65,$D:$D,$D65)&gt;1,"duplicate_id","")</f>
        <v/>
      </c>
    </row>
    <row r="66">
      <c r="A66" t="inlineStr">
        <is>
          <t>INMUTV7L</t>
        </is>
      </c>
      <c r="B66" t="inlineStr">
        <is>
          <t>10.3390/nano10040720</t>
        </is>
      </c>
      <c r="C66" s="2" t="inlineStr">
        <is>
          <t>Dexibuprofen Biodegradable Nanoparticles: One Step Closer towards a Better Ocular Interaction Study</t>
        </is>
      </c>
      <c r="D66" t="inlineStr">
        <is>
          <t>10</t>
        </is>
      </c>
      <c r="E66" s="3" t="inlineStr">
        <is>
          <t>dexibuprofen</t>
        </is>
      </c>
      <c r="F66" s="4" t="inlineStr">
        <is>
          <t>text_described</t>
        </is>
      </c>
      <c r="G66" s="3" t="inlineStr">
        <is>
          <t>fulltext</t>
        </is>
      </c>
      <c r="H66" s="4" t="inlineStr">
        <is>
          <t>yes</t>
        </is>
      </c>
      <c r="I66" s="4" t="inlineStr">
        <is>
          <t>medium</t>
        </is>
      </c>
      <c r="J66" s="4" t="inlineStr">
        <is>
          <t>pending</t>
        </is>
      </c>
      <c r="K66" s="3" t="inlineStr">
        <is>
          <t>Polymer is PLGA-PEG with 15% PEG content, described as a triblock copolymer. The specific la_ga_ratio and plga_mw_kDa for the PLGA component of this triblock are not explicitly stated.</t>
        </is>
      </c>
      <c r="L66">
        <f>IF(OR($F66="",$H66="",$I66="",$J66=""),"missing_required","")</f>
        <v/>
      </c>
      <c r="M66">
        <f>IF(COUNTIFS($A:$A,$A66,$D:$D,$D66)&gt;1,"duplicate_id","")</f>
        <v/>
      </c>
    </row>
    <row r="67">
      <c r="A67" t="inlineStr">
        <is>
          <t>INMUTV7L</t>
        </is>
      </c>
      <c r="B67" t="inlineStr">
        <is>
          <t>10.3390/nano10040720</t>
        </is>
      </c>
      <c r="C67" s="2" t="inlineStr">
        <is>
          <t>Dexibuprofen Biodegradable Nanoparticles: One Step Closer towards a Better Ocular Interaction Study</t>
        </is>
      </c>
      <c r="D67" t="inlineStr">
        <is>
          <t>11</t>
        </is>
      </c>
      <c r="E67" s="3" t="inlineStr">
        <is>
          <t>dexibuprofen</t>
        </is>
      </c>
      <c r="F67" s="4" t="inlineStr">
        <is>
          <t>text_described</t>
        </is>
      </c>
      <c r="G67" s="3" t="inlineStr">
        <is>
          <t>fulltext</t>
        </is>
      </c>
      <c r="H67" s="4" t="inlineStr">
        <is>
          <t>yes</t>
        </is>
      </c>
      <c r="I67" s="4" t="inlineStr">
        <is>
          <t>medium</t>
        </is>
      </c>
      <c r="J67" s="4" t="inlineStr">
        <is>
          <t>pending</t>
        </is>
      </c>
      <c r="K67" s="3" t="inlineStr">
        <is>
          <t>Polymer is PLGA-PEG with 15% PEG content, described as a triblock copolymer. The specific la_ga_ratio and plga_mw_kDa for the PLGA component of this triblock are not explicitly stated.</t>
        </is>
      </c>
      <c r="L67">
        <f>IF(OR($F67="",$H67="",$I67="",$J67=""),"missing_required","")</f>
        <v/>
      </c>
      <c r="M67">
        <f>IF(COUNTIFS($A:$A,$A67,$D:$D,$D67)&gt;1,"duplicate_id","")</f>
        <v/>
      </c>
    </row>
    <row r="68">
      <c r="A68" t="inlineStr">
        <is>
          <t>INMUTV7L</t>
        </is>
      </c>
      <c r="B68" t="inlineStr">
        <is>
          <t>10.3390/nano10040720</t>
        </is>
      </c>
      <c r="C68" s="2" t="inlineStr">
        <is>
          <t>Dexibuprofen Biodegradable Nanoparticles: One Step Closer towards a Better Ocular Interaction Study</t>
        </is>
      </c>
      <c r="D68" t="inlineStr">
        <is>
          <t>12</t>
        </is>
      </c>
      <c r="E68" s="3" t="inlineStr">
        <is>
          <t>dexibuprofen</t>
        </is>
      </c>
      <c r="F68" s="4" t="inlineStr">
        <is>
          <t>text_described</t>
        </is>
      </c>
      <c r="G68" s="3" t="inlineStr">
        <is>
          <t>fulltext</t>
        </is>
      </c>
      <c r="H68" s="4" t="inlineStr">
        <is>
          <t>yes</t>
        </is>
      </c>
      <c r="I68" s="4" t="inlineStr">
        <is>
          <t>medium</t>
        </is>
      </c>
      <c r="J68" s="4" t="inlineStr">
        <is>
          <t>pending</t>
        </is>
      </c>
      <c r="K68" s="3" t="inlineStr">
        <is>
          <t>Polymer is PLGA-PEG with 15% PEG content, described as a triblock copolymer. The specific la_ga_ratio and plga_mw_kDa for the PLGA component of this triblock are not explicitly stated.</t>
        </is>
      </c>
      <c r="L68">
        <f>IF(OR($F68="",$H68="",$I68="",$J68=""),"missing_required","")</f>
        <v/>
      </c>
      <c r="M68">
        <f>IF(COUNTIFS($A:$A,$A68,$D:$D,$D68)&gt;1,"duplicate_id","")</f>
        <v/>
      </c>
    </row>
    <row r="69">
      <c r="A69" t="inlineStr">
        <is>
          <t>INMUTV7L</t>
        </is>
      </c>
      <c r="B69" t="inlineStr">
        <is>
          <t>10.3390/nano10040720</t>
        </is>
      </c>
      <c r="C69" s="2" t="inlineStr">
        <is>
          <t>Dexibuprofen Biodegradable Nanoparticles: One Step Closer towards a Better Ocular Interaction Study</t>
        </is>
      </c>
      <c r="D69" t="inlineStr">
        <is>
          <t>2</t>
        </is>
      </c>
      <c r="E69" s="3" t="inlineStr">
        <is>
          <t>dexibuprofen</t>
        </is>
      </c>
      <c r="F69" s="4" t="inlineStr">
        <is>
          <t>text_described</t>
        </is>
      </c>
      <c r="G69" s="3" t="inlineStr">
        <is>
          <t>fulltext</t>
        </is>
      </c>
      <c r="H69" s="4" t="inlineStr">
        <is>
          <t>yes</t>
        </is>
      </c>
      <c r="I69" s="4" t="inlineStr">
        <is>
          <t>medium</t>
        </is>
      </c>
      <c r="J69" s="4" t="inlineStr">
        <is>
          <t>pending</t>
        </is>
      </c>
      <c r="K69" s="3" t="inlineStr">
        <is>
          <t>Polymer type 'PLGA 503 H'. The la_ga_ratio and plga_mw_kDa are inferred from the '503 H' product code commonly associated with Boehringer Ingelheim PLGA polymers.</t>
        </is>
      </c>
      <c r="L69">
        <f>IF(OR($F69="",$H69="",$I69="",$J69=""),"missing_required","")</f>
        <v/>
      </c>
      <c r="M69">
        <f>IF(COUNTIFS($A:$A,$A69,$D:$D,$D69)&gt;1,"duplicate_id","")</f>
        <v/>
      </c>
    </row>
    <row r="70">
      <c r="A70" t="inlineStr">
        <is>
          <t>INMUTV7L</t>
        </is>
      </c>
      <c r="B70" t="inlineStr">
        <is>
          <t>10.3390/nano10040720</t>
        </is>
      </c>
      <c r="C70" s="2" t="inlineStr">
        <is>
          <t>Dexibuprofen Biodegradable Nanoparticles: One Step Closer towards a Better Ocular Interaction Study</t>
        </is>
      </c>
      <c r="D70" t="inlineStr">
        <is>
          <t>3</t>
        </is>
      </c>
      <c r="E70" s="3" t="inlineStr">
        <is>
          <t>dexibuprofen</t>
        </is>
      </c>
      <c r="F70" s="4" t="inlineStr">
        <is>
          <t>text_described</t>
        </is>
      </c>
      <c r="G70" s="3" t="inlineStr">
        <is>
          <t>fulltext</t>
        </is>
      </c>
      <c r="H70" s="4" t="inlineStr">
        <is>
          <t>yes</t>
        </is>
      </c>
      <c r="I70" s="4" t="inlineStr">
        <is>
          <t>medium</t>
        </is>
      </c>
      <c r="J70" s="4" t="inlineStr">
        <is>
          <t>pending</t>
        </is>
      </c>
      <c r="K70" s="3" t="inlineStr">
        <is>
          <t>Polymer type 'PLGA 503 H'. The la_ga_ratio and plga_mw_kDa are inferred from the '503 H' product code commonly associated with Boehringer Ingelheim PLGA polymers.</t>
        </is>
      </c>
      <c r="L70">
        <f>IF(OR($F70="",$H70="",$I70="",$J70=""),"missing_required","")</f>
        <v/>
      </c>
      <c r="M70">
        <f>IF(COUNTIFS($A:$A,$A70,$D:$D,$D70)&gt;1,"duplicate_id","")</f>
        <v/>
      </c>
    </row>
    <row r="71">
      <c r="A71" t="inlineStr">
        <is>
          <t>INMUTV7L</t>
        </is>
      </c>
      <c r="B71" t="inlineStr">
        <is>
          <t>10.3390/nano10040720</t>
        </is>
      </c>
      <c r="C71" s="2" t="inlineStr">
        <is>
          <t>Dexibuprofen Biodegradable Nanoparticles: One Step Closer towards a Better Ocular Interaction Study</t>
        </is>
      </c>
      <c r="D71" t="inlineStr">
        <is>
          <t>4</t>
        </is>
      </c>
      <c r="E71" s="3" t="inlineStr">
        <is>
          <t>dexibuprofen</t>
        </is>
      </c>
      <c r="F71" s="4" t="inlineStr">
        <is>
          <t>text_described</t>
        </is>
      </c>
      <c r="G71" s="3" t="inlineStr">
        <is>
          <t>fulltext</t>
        </is>
      </c>
      <c r="H71" s="4" t="inlineStr">
        <is>
          <t>yes</t>
        </is>
      </c>
      <c r="I71" s="4" t="inlineStr">
        <is>
          <t>medium</t>
        </is>
      </c>
      <c r="J71" s="4" t="inlineStr">
        <is>
          <t>pending</t>
        </is>
      </c>
      <c r="K71" s="3" t="inlineStr">
        <is>
          <t>Polymer is PLGA-PEG with 5% PEG content, described as a triblock copolymer. The specific la_ga_ratio and plga_mw_kDa for the PLGA component of this triblock are not explicitly stated.</t>
        </is>
      </c>
      <c r="L71">
        <f>IF(OR($F71="",$H71="",$I71="",$J71=""),"missing_required","")</f>
        <v/>
      </c>
      <c r="M71">
        <f>IF(COUNTIFS($A:$A,$A71,$D:$D,$D71)&gt;1,"duplicate_id","")</f>
        <v/>
      </c>
    </row>
    <row r="72">
      <c r="A72" t="inlineStr">
        <is>
          <t>INMUTV7L</t>
        </is>
      </c>
      <c r="B72" t="inlineStr">
        <is>
          <t>10.3390/nano10040720</t>
        </is>
      </c>
      <c r="C72" s="2" t="inlineStr">
        <is>
          <t>Dexibuprofen Biodegradable Nanoparticles: One Step Closer towards a Better Ocular Interaction Study</t>
        </is>
      </c>
      <c r="D72" t="inlineStr">
        <is>
          <t>5</t>
        </is>
      </c>
      <c r="E72" s="3" t="inlineStr">
        <is>
          <t>dexibuprofen</t>
        </is>
      </c>
      <c r="F72" s="4" t="inlineStr">
        <is>
          <t>text_described</t>
        </is>
      </c>
      <c r="G72" s="3" t="inlineStr">
        <is>
          <t>fulltext</t>
        </is>
      </c>
      <c r="H72" s="4" t="inlineStr">
        <is>
          <t>yes</t>
        </is>
      </c>
      <c r="I72" s="4" t="inlineStr">
        <is>
          <t>medium</t>
        </is>
      </c>
      <c r="J72" s="4" t="inlineStr">
        <is>
          <t>pending</t>
        </is>
      </c>
      <c r="K72" s="3" t="inlineStr">
        <is>
          <t>Polymer is PLGA-PEG with 5% PEG content, described as a triblock copolymer. The specific la_ga_ratio and plga_mw_kDa for the PLGA component of this triblock are not explicitly stated.</t>
        </is>
      </c>
      <c r="L72">
        <f>IF(OR($F72="",$H72="",$I72="",$J72=""),"missing_required","")</f>
        <v/>
      </c>
      <c r="M72">
        <f>IF(COUNTIFS($A:$A,$A72,$D:$D,$D72)&gt;1,"duplicate_id","")</f>
        <v/>
      </c>
    </row>
    <row r="73">
      <c r="A73" t="inlineStr">
        <is>
          <t>INMUTV7L</t>
        </is>
      </c>
      <c r="B73" t="inlineStr">
        <is>
          <t>10.3390/nano10040720</t>
        </is>
      </c>
      <c r="C73" s="2" t="inlineStr">
        <is>
          <t>Dexibuprofen Biodegradable Nanoparticles: One Step Closer towards a Better Ocular Interaction Study</t>
        </is>
      </c>
      <c r="D73" t="inlineStr">
        <is>
          <t>6</t>
        </is>
      </c>
      <c r="E73" s="3" t="inlineStr">
        <is>
          <t>dexibuprofen</t>
        </is>
      </c>
      <c r="F73" s="4" t="inlineStr">
        <is>
          <t>text_described</t>
        </is>
      </c>
      <c r="G73" s="3" t="inlineStr">
        <is>
          <t>fulltext</t>
        </is>
      </c>
      <c r="H73" s="4" t="inlineStr">
        <is>
          <t>yes</t>
        </is>
      </c>
      <c r="I73" s="4" t="inlineStr">
        <is>
          <t>medium</t>
        </is>
      </c>
      <c r="J73" s="4" t="inlineStr">
        <is>
          <t>pending</t>
        </is>
      </c>
      <c r="K73" s="3" t="inlineStr">
        <is>
          <t>Polymer is PLGA-PEG with 5% PEG content, described as a triblock copolymer. The specific la_ga_ratio and plga_mw_kDa for the PLGA component of this triblock are not explicitly stated.</t>
        </is>
      </c>
      <c r="L73">
        <f>IF(OR($F73="",$H73="",$I73="",$J73=""),"missing_required","")</f>
        <v/>
      </c>
      <c r="M73">
        <f>IF(COUNTIFS($A:$A,$A73,$D:$D,$D73)&gt;1,"duplicate_id","")</f>
        <v/>
      </c>
    </row>
    <row r="74">
      <c r="A74" t="inlineStr">
        <is>
          <t>INMUTV7L</t>
        </is>
      </c>
      <c r="B74" t="inlineStr">
        <is>
          <t>10.3390/nano10040720</t>
        </is>
      </c>
      <c r="C74" s="2" t="inlineStr">
        <is>
          <t>Dexibuprofen Biodegradable Nanoparticles: One Step Closer towards a Better Ocular Interaction Study</t>
        </is>
      </c>
      <c r="D74" t="inlineStr">
        <is>
          <t>7</t>
        </is>
      </c>
      <c r="E74" s="3" t="inlineStr">
        <is>
          <t>dexibuprofen</t>
        </is>
      </c>
      <c r="F74" s="4" t="inlineStr">
        <is>
          <t>text_described</t>
        </is>
      </c>
      <c r="G74" s="3" t="inlineStr">
        <is>
          <t>fulltext</t>
        </is>
      </c>
      <c r="H74" s="4" t="inlineStr">
        <is>
          <t>yes</t>
        </is>
      </c>
      <c r="I74" s="4" t="inlineStr">
        <is>
          <t>medium</t>
        </is>
      </c>
      <c r="J74" s="4" t="inlineStr">
        <is>
          <t>pending</t>
        </is>
      </c>
      <c r="K74" s="3" t="inlineStr">
        <is>
          <t>Polymer is PLGA-PEG with 10% PEG content, described as a triblock copolymer. The specific la_ga_ratio and plga_mw_kDa for the PLGA component of this triblock are not explicitly stated.</t>
        </is>
      </c>
      <c r="L74">
        <f>IF(OR($F74="",$H74="",$I74="",$J74=""),"missing_required","")</f>
        <v/>
      </c>
      <c r="M74">
        <f>IF(COUNTIFS($A:$A,$A74,$D:$D,$D74)&gt;1,"duplicate_id","")</f>
        <v/>
      </c>
    </row>
    <row r="75">
      <c r="A75" t="inlineStr">
        <is>
          <t>INMUTV7L</t>
        </is>
      </c>
      <c r="B75" t="inlineStr">
        <is>
          <t>10.3390/nano10040720</t>
        </is>
      </c>
      <c r="C75" s="2" t="inlineStr">
        <is>
          <t>Dexibuprofen Biodegradable Nanoparticles: One Step Closer towards a Better Ocular Interaction Study</t>
        </is>
      </c>
      <c r="D75" t="inlineStr">
        <is>
          <t>8</t>
        </is>
      </c>
      <c r="E75" s="3" t="inlineStr">
        <is>
          <t>dexibuprofen</t>
        </is>
      </c>
      <c r="F75" s="4" t="inlineStr">
        <is>
          <t>text_described</t>
        </is>
      </c>
      <c r="G75" s="3" t="inlineStr">
        <is>
          <t>fulltext</t>
        </is>
      </c>
      <c r="H75" s="4" t="inlineStr">
        <is>
          <t>yes</t>
        </is>
      </c>
      <c r="I75" s="4" t="inlineStr">
        <is>
          <t>medium</t>
        </is>
      </c>
      <c r="J75" s="4" t="inlineStr">
        <is>
          <t>pending</t>
        </is>
      </c>
      <c r="K75" s="3" t="inlineStr">
        <is>
          <t>Polymer is PLGA-PEG with 10% PEG content, described as a triblock copolymer. The specific la_ga_ratio and plga_mw_kDa for the PLGA component of this triblock are not explicitly stated.</t>
        </is>
      </c>
      <c r="L75">
        <f>IF(OR($F75="",$H75="",$I75="",$J75=""),"missing_required","")</f>
        <v/>
      </c>
      <c r="M75">
        <f>IF(COUNTIFS($A:$A,$A75,$D:$D,$D75)&gt;1,"duplicate_id","")</f>
        <v/>
      </c>
    </row>
    <row r="76">
      <c r="A76" t="inlineStr">
        <is>
          <t>INMUTV7L</t>
        </is>
      </c>
      <c r="B76" t="inlineStr">
        <is>
          <t>10.3390/nano10040720</t>
        </is>
      </c>
      <c r="C76" s="2" t="inlineStr">
        <is>
          <t>Dexibuprofen Biodegradable Nanoparticles: One Step Closer towards a Better Ocular Interaction Study</t>
        </is>
      </c>
      <c r="D76" t="inlineStr">
        <is>
          <t>9</t>
        </is>
      </c>
      <c r="E76" s="3" t="inlineStr">
        <is>
          <t>dexibuprofen</t>
        </is>
      </c>
      <c r="F76" s="4" t="inlineStr">
        <is>
          <t>text_described</t>
        </is>
      </c>
      <c r="G76" s="3" t="inlineStr">
        <is>
          <t>fulltext</t>
        </is>
      </c>
      <c r="H76" s="4" t="inlineStr">
        <is>
          <t>yes</t>
        </is>
      </c>
      <c r="I76" s="4" t="inlineStr">
        <is>
          <t>medium</t>
        </is>
      </c>
      <c r="J76" s="4" t="inlineStr">
        <is>
          <t>pending</t>
        </is>
      </c>
      <c r="K76" s="3" t="inlineStr">
        <is>
          <t>Polymer is PLGA-PEG with 10% PEG content, described as a triblock copolymer. The specific la_ga_ratio and plga_mw_kDa for the PLGA component of this triblock are not explicitly stated.</t>
        </is>
      </c>
      <c r="L76">
        <f>IF(OR($F76="",$H76="",$I76="",$J76=""),"missing_required","")</f>
        <v/>
      </c>
      <c r="M76">
        <f>IF(COUNTIFS($A:$A,$A76,$D:$D,$D76)&gt;1,"duplicate_id","")</f>
        <v/>
      </c>
    </row>
    <row r="77">
      <c r="A77" t="inlineStr">
        <is>
          <t>L3H2RS2H</t>
        </is>
      </c>
      <c r="B77" t="inlineStr">
        <is>
          <t>10.1016/j.ejpb.2004.09.002</t>
        </is>
      </c>
      <c r="C77" s="2" t="inlineStr">
        <is>
          <t>Development and characterization of PLGA nanospheres and nanocapsules containing xanthone and 3-methoxyxanthone</t>
        </is>
      </c>
      <c r="D77" t="inlineStr">
        <is>
          <t>1</t>
        </is>
      </c>
      <c r="E77" s="3" t="inlineStr"/>
      <c r="F77" s="4" t="inlineStr">
        <is>
          <t>text_described</t>
        </is>
      </c>
      <c r="G77" s="3" t="inlineStr">
        <is>
          <t>fulltext</t>
        </is>
      </c>
      <c r="H77" s="4" t="inlineStr">
        <is>
          <t>yes</t>
        </is>
      </c>
      <c r="I77" s="4" t="inlineStr">
        <is>
          <t>medium</t>
        </is>
      </c>
      <c r="J77" s="4" t="inlineStr">
        <is>
          <t>pending</t>
        </is>
      </c>
      <c r="K77" s="3" t="inlineStr">
        <is>
          <t>Empty nanospheres. Characterization data (mean diameter, PI, zeta potential) from Table 2.</t>
        </is>
      </c>
      <c r="L77">
        <f>IF(OR($F77="",$H77="",$I77="",$J77=""),"missing_required","")</f>
        <v/>
      </c>
      <c r="M77">
        <f>IF(COUNTIFS($A:$A,$A77,$D:$D,$D77)&gt;1,"duplicate_id","")</f>
        <v/>
      </c>
    </row>
    <row r="78">
      <c r="A78" t="inlineStr">
        <is>
          <t>L3H2RS2H</t>
        </is>
      </c>
      <c r="B78" t="inlineStr">
        <is>
          <t>10.1016/j.ejpb.2004.09.002</t>
        </is>
      </c>
      <c r="C78" s="2" t="inlineStr">
        <is>
          <t>Development and characterization of PLGA nanospheres and nanocapsules containing xanthone and 3-methoxyxanthone</t>
        </is>
      </c>
      <c r="D78" t="inlineStr">
        <is>
          <t>10</t>
        </is>
      </c>
      <c r="E78" s="3" t="inlineStr"/>
      <c r="F78" s="4" t="inlineStr">
        <is>
          <t>text_described</t>
        </is>
      </c>
      <c r="G78" s="3" t="inlineStr">
        <is>
          <t>fulltext</t>
        </is>
      </c>
      <c r="H78" s="4" t="inlineStr">
        <is>
          <t>yes</t>
        </is>
      </c>
      <c r="I78" s="4" t="inlineStr">
        <is>
          <t>medium</t>
        </is>
      </c>
      <c r="J78" s="4" t="inlineStr">
        <is>
          <t>pending</t>
        </is>
      </c>
      <c r="K78" s="3" t="inlineStr">
        <is>
          <t>Empty nanocapsules. Soybean lecithin (100 mg) was also dissolved in acetone. Myritol 318 (0.5 mL) was used as the oil core. Characterization data from Table 4.</t>
        </is>
      </c>
      <c r="L78">
        <f>IF(OR($F78="",$H78="",$I78="",$J78=""),"missing_required","")</f>
        <v/>
      </c>
      <c r="M78">
        <f>IF(COUNTIFS($A:$A,$A78,$D:$D,$D78)&gt;1,"duplicate_id","")</f>
        <v/>
      </c>
    </row>
    <row r="79">
      <c r="A79" t="inlineStr">
        <is>
          <t>L3H2RS2H</t>
        </is>
      </c>
      <c r="B79" t="inlineStr">
        <is>
          <t>10.1016/j.ejpb.2004.09.002</t>
        </is>
      </c>
      <c r="C79" s="2" t="inlineStr">
        <is>
          <t>Development and characterization of PLGA nanospheres and nanocapsules containing xanthone and 3-methoxyxanthone</t>
        </is>
      </c>
      <c r="D79" t="inlineStr">
        <is>
          <t>11</t>
        </is>
      </c>
      <c r="E79" s="3" t="inlineStr">
        <is>
          <t>Xanthone (XAN)</t>
        </is>
      </c>
      <c r="F79" s="4" t="inlineStr">
        <is>
          <t>text_described</t>
        </is>
      </c>
      <c r="G79" s="3" t="inlineStr">
        <is>
          <t>fulltext</t>
        </is>
      </c>
      <c r="H79" s="4" t="inlineStr">
        <is>
          <t>yes</t>
        </is>
      </c>
      <c r="I79" s="4" t="inlineStr">
        <is>
          <t>medium</t>
        </is>
      </c>
      <c r="J79" s="4" t="inlineStr">
        <is>
          <t>pending</t>
        </is>
      </c>
      <c r="K79" s="3" t="inlineStr">
        <is>
          <t>XAN-loaded nanocapsules. Soybean lecithin (100 mg) was also dissolved in acetone. Myritol 318 (0.5 mL) was used as the oil core. Encapsulation data from Table 3. No specific characterization data provided.</t>
        </is>
      </c>
      <c r="L79">
        <f>IF(OR($F79="",$H79="",$I79="",$J79=""),"missing_required","")</f>
        <v/>
      </c>
      <c r="M79">
        <f>IF(COUNTIFS($A:$A,$A79,$D:$D,$D79)&gt;1,"duplicate_id","")</f>
        <v/>
      </c>
    </row>
    <row r="80">
      <c r="A80" t="inlineStr">
        <is>
          <t>L3H2RS2H</t>
        </is>
      </c>
      <c r="B80" t="inlineStr">
        <is>
          <t>10.1016/j.ejpb.2004.09.002</t>
        </is>
      </c>
      <c r="C80" s="2" t="inlineStr">
        <is>
          <t>Development and characterization of PLGA nanospheres and nanocapsules containing xanthone and 3-methoxyxanthone</t>
        </is>
      </c>
      <c r="D80" t="inlineStr">
        <is>
          <t>12</t>
        </is>
      </c>
      <c r="E80" s="3" t="inlineStr">
        <is>
          <t>Xanthone (XAN)</t>
        </is>
      </c>
      <c r="F80" s="4" t="inlineStr">
        <is>
          <t>text_described</t>
        </is>
      </c>
      <c r="G80" s="3" t="inlineStr">
        <is>
          <t>fulltext</t>
        </is>
      </c>
      <c r="H80" s="4" t="inlineStr">
        <is>
          <t>yes</t>
        </is>
      </c>
      <c r="I80" s="4" t="inlineStr">
        <is>
          <t>medium</t>
        </is>
      </c>
      <c r="J80" s="4" t="inlineStr">
        <is>
          <t>pending</t>
        </is>
      </c>
      <c r="K80" s="3" t="inlineStr">
        <is>
          <t>XAN-loaded nanocapsules. Soybean lecithin (100 mg) was also dissolved in acetone. Myritol 318 (0.5 mL) was used as the oil core. Encapsulation data from Table 3. No specific characterization data provided.</t>
        </is>
      </c>
      <c r="L80">
        <f>IF(OR($F80="",$H80="",$I80="",$J80=""),"missing_required","")</f>
        <v/>
      </c>
      <c r="M80">
        <f>IF(COUNTIFS($A:$A,$A80,$D:$D,$D80)&gt;1,"duplicate_id","")</f>
        <v/>
      </c>
    </row>
    <row r="81">
      <c r="A81" t="inlineStr">
        <is>
          <t>L3H2RS2H</t>
        </is>
      </c>
      <c r="B81" t="inlineStr">
        <is>
          <t>10.1016/j.ejpb.2004.09.002</t>
        </is>
      </c>
      <c r="C81" s="2" t="inlineStr">
        <is>
          <t>Development and characterization of PLGA nanospheres and nanocapsules containing xanthone and 3-methoxyxanthone</t>
        </is>
      </c>
      <c r="D81" t="inlineStr">
        <is>
          <t>13</t>
        </is>
      </c>
      <c r="E81" s="3" t="inlineStr">
        <is>
          <t>Xanthone (XAN)</t>
        </is>
      </c>
      <c r="F81" s="4" t="inlineStr">
        <is>
          <t>text_described</t>
        </is>
      </c>
      <c r="G81" s="3" t="inlineStr">
        <is>
          <t>fulltext</t>
        </is>
      </c>
      <c r="H81" s="4" t="inlineStr">
        <is>
          <t>yes</t>
        </is>
      </c>
      <c r="I81" s="4" t="inlineStr">
        <is>
          <t>medium</t>
        </is>
      </c>
      <c r="J81" s="4" t="inlineStr">
        <is>
          <t>pending</t>
        </is>
      </c>
      <c r="K81" s="3" t="inlineStr">
        <is>
          <t>XAN-loaded nanocapsules. Soybean lecithin (100 mg) was also dissolved in acetone. Myritol 318 (0.5 mL) was used as the oil core. Encapsulation data from Table 3. Characterization data (mean diameter, PI, zeta potential) from Table 4, specified for XAN nanocapsules with theoretical concentration of 600 mg/mL.</t>
        </is>
      </c>
      <c r="L81">
        <f>IF(OR($F81="",$H81="",$I81="",$J81=""),"missing_required","")</f>
        <v/>
      </c>
      <c r="M81">
        <f>IF(COUNTIFS($A:$A,$A81,$D:$D,$D81)&gt;1,"duplicate_id","")</f>
        <v/>
      </c>
    </row>
    <row r="82">
      <c r="A82" t="inlineStr">
        <is>
          <t>L3H2RS2H</t>
        </is>
      </c>
      <c r="B82" t="inlineStr">
        <is>
          <t>10.1016/j.ejpb.2004.09.002</t>
        </is>
      </c>
      <c r="C82" s="2" t="inlineStr">
        <is>
          <t>Development and characterization of PLGA nanospheres and nanocapsules containing xanthone and 3-methoxyxanthone</t>
        </is>
      </c>
      <c r="D82" t="inlineStr">
        <is>
          <t>14</t>
        </is>
      </c>
      <c r="E82" s="3" t="inlineStr">
        <is>
          <t>Xanthone (XAN)</t>
        </is>
      </c>
      <c r="F82" s="4" t="inlineStr">
        <is>
          <t>text_described</t>
        </is>
      </c>
      <c r="G82" s="3" t="inlineStr">
        <is>
          <t>fulltext</t>
        </is>
      </c>
      <c r="H82" s="4" t="inlineStr">
        <is>
          <t>yes</t>
        </is>
      </c>
      <c r="I82" s="4" t="inlineStr">
        <is>
          <t>medium</t>
        </is>
      </c>
      <c r="J82" s="4" t="inlineStr">
        <is>
          <t>pending</t>
        </is>
      </c>
      <c r="K82" s="3" t="inlineStr">
        <is>
          <t>XAN-loaded nanocapsules. Soybean lecithin (100 mg) was also dissolved in acetone. Myritol 318 (0.5 mL) was used as the oil core. At this theoretical concentration, crystals of XAN were observed, and encapsulation efficiency was not determined (ND). Data from Table 3. No specific characterization data provided.</t>
        </is>
      </c>
      <c r="L82">
        <f>IF(OR($F82="",$H82="",$I82="",$J82=""),"missing_required","")</f>
        <v/>
      </c>
      <c r="M82">
        <f>IF(COUNTIFS($A:$A,$A82,$D:$D,$D82)&gt;1,"duplicate_id","")</f>
        <v/>
      </c>
    </row>
    <row r="83">
      <c r="A83" t="inlineStr">
        <is>
          <t>L3H2RS2H</t>
        </is>
      </c>
      <c r="B83" t="inlineStr">
        <is>
          <t>10.1016/j.ejpb.2004.09.002</t>
        </is>
      </c>
      <c r="C83" s="2" t="inlineStr">
        <is>
          <t>Development and characterization of PLGA nanospheres and nanocapsules containing xanthone and 3-methoxyxanthone</t>
        </is>
      </c>
      <c r="D83" t="inlineStr">
        <is>
          <t>15</t>
        </is>
      </c>
      <c r="E83" s="3" t="inlineStr">
        <is>
          <t>Xanthone (XAN)</t>
        </is>
      </c>
      <c r="F83" s="4" t="inlineStr">
        <is>
          <t>text_described</t>
        </is>
      </c>
      <c r="G83" s="3" t="inlineStr">
        <is>
          <t>fulltext</t>
        </is>
      </c>
      <c r="H83" s="4" t="inlineStr">
        <is>
          <t>yes</t>
        </is>
      </c>
      <c r="I83" s="4" t="inlineStr">
        <is>
          <t>medium</t>
        </is>
      </c>
      <c r="J83" s="4" t="inlineStr">
        <is>
          <t>pending</t>
        </is>
      </c>
      <c r="K83" s="3" t="inlineStr">
        <is>
          <t>XAN-loaded nanocapsules. Soybean lecithin (100 mg) was also dissolved in acetone. Myritol 318 (0.5 mL) was used as the oil core. At this theoretical concentration, crystals of XAN were observed, and encapsulation efficiency was not determined (ND). Data from Table 3. No specific characterization data provided.</t>
        </is>
      </c>
      <c r="L83">
        <f>IF(OR($F83="",$H83="",$I83="",$J83=""),"missing_required","")</f>
        <v/>
      </c>
      <c r="M83">
        <f>IF(COUNTIFS($A:$A,$A83,$D:$D,$D83)&gt;1,"duplicate_id","")</f>
        <v/>
      </c>
    </row>
    <row r="84">
      <c r="A84" t="inlineStr">
        <is>
          <t>L3H2RS2H</t>
        </is>
      </c>
      <c r="B84" t="inlineStr">
        <is>
          <t>10.1016/j.ejpb.2004.09.002</t>
        </is>
      </c>
      <c r="C84" s="2" t="inlineStr">
        <is>
          <t>Development and characterization of PLGA nanospheres and nanocapsules containing xanthone and 3-methoxyxanthone</t>
        </is>
      </c>
      <c r="D84" t="inlineStr">
        <is>
          <t>16</t>
        </is>
      </c>
      <c r="E84" s="3" t="inlineStr">
        <is>
          <t>3-Methoxyxanthone (3-MeOXAN)</t>
        </is>
      </c>
      <c r="F84" s="4" t="inlineStr">
        <is>
          <t>text_described</t>
        </is>
      </c>
      <c r="G84" s="3" t="inlineStr">
        <is>
          <t>fulltext</t>
        </is>
      </c>
      <c r="H84" s="4" t="inlineStr">
        <is>
          <t>yes</t>
        </is>
      </c>
      <c r="I84" s="4" t="inlineStr">
        <is>
          <t>medium</t>
        </is>
      </c>
      <c r="J84" s="4" t="inlineStr">
        <is>
          <t>pending</t>
        </is>
      </c>
      <c r="K84" s="3" t="inlineStr">
        <is>
          <t>3-MeOXAN-loaded nanocapsules. Soybean lecithin (100 mg) was also dissolved in acetone. Myritol 318 (0.5 mL) was used as the oil core. Encapsulation data from Table 3. No specific characterization data provided.</t>
        </is>
      </c>
      <c r="L84">
        <f>IF(OR($F84="",$H84="",$I84="",$J84=""),"missing_required","")</f>
        <v/>
      </c>
      <c r="M84">
        <f>IF(COUNTIFS($A:$A,$A84,$D:$D,$D84)&gt;1,"duplicate_id","")</f>
        <v/>
      </c>
    </row>
    <row r="85">
      <c r="A85" t="inlineStr">
        <is>
          <t>L3H2RS2H</t>
        </is>
      </c>
      <c r="B85" t="inlineStr">
        <is>
          <t>10.1016/j.ejpb.2004.09.002</t>
        </is>
      </c>
      <c r="C85" s="2" t="inlineStr">
        <is>
          <t>Development and characterization of PLGA nanospheres and nanocapsules containing xanthone and 3-methoxyxanthone</t>
        </is>
      </c>
      <c r="D85" t="inlineStr">
        <is>
          <t>17</t>
        </is>
      </c>
      <c r="E85" s="3" t="inlineStr">
        <is>
          <t>3-Methoxyxanthone (3-MeOXAN)</t>
        </is>
      </c>
      <c r="F85" s="4" t="inlineStr">
        <is>
          <t>text_described</t>
        </is>
      </c>
      <c r="G85" s="3" t="inlineStr">
        <is>
          <t>fulltext</t>
        </is>
      </c>
      <c r="H85" s="4" t="inlineStr">
        <is>
          <t>yes</t>
        </is>
      </c>
      <c r="I85" s="4" t="inlineStr">
        <is>
          <t>medium</t>
        </is>
      </c>
      <c r="J85" s="4" t="inlineStr">
        <is>
          <t>pending</t>
        </is>
      </c>
      <c r="K85" s="3" t="inlineStr">
        <is>
          <t>3-MeOXAN-loaded nanocapsules. Soybean lecithin (100 mg) was also dissolved in acetone. Myritol 318 (0.5 mL) was used as the oil core. Encapsulation data from Table 3. No specific characterization data provided.</t>
        </is>
      </c>
      <c r="L85">
        <f>IF(OR($F85="",$H85="",$I85="",$J85=""),"missing_required","")</f>
        <v/>
      </c>
      <c r="M85">
        <f>IF(COUNTIFS($A:$A,$A85,$D:$D,$D85)&gt;1,"duplicate_id","")</f>
        <v/>
      </c>
    </row>
    <row r="86">
      <c r="A86" t="inlineStr">
        <is>
          <t>L3H2RS2H</t>
        </is>
      </c>
      <c r="B86" t="inlineStr">
        <is>
          <t>10.1016/j.ejpb.2004.09.002</t>
        </is>
      </c>
      <c r="C86" s="2" t="inlineStr">
        <is>
          <t>Development and characterization of PLGA nanospheres and nanocapsules containing xanthone and 3-methoxyxanthone</t>
        </is>
      </c>
      <c r="D86" t="inlineStr">
        <is>
          <t>18</t>
        </is>
      </c>
      <c r="E86" s="3" t="inlineStr">
        <is>
          <t>3-Methoxyxanthone (3-MeOXAN)</t>
        </is>
      </c>
      <c r="F86" s="4" t="inlineStr">
        <is>
          <t>text_described</t>
        </is>
      </c>
      <c r="G86" s="3" t="inlineStr">
        <is>
          <t>fulltext</t>
        </is>
      </c>
      <c r="H86" s="4" t="inlineStr">
        <is>
          <t>yes</t>
        </is>
      </c>
      <c r="I86" s="4" t="inlineStr">
        <is>
          <t>medium</t>
        </is>
      </c>
      <c r="J86" s="4" t="inlineStr">
        <is>
          <t>pending</t>
        </is>
      </c>
      <c r="K86" s="3" t="inlineStr">
        <is>
          <t>3-MeOXAN-loaded nanocapsules. Soybean lecithin (100 mg) was also dissolved in acetone. Myritol 318 (0.5 mL) was used as the oil core. Encapsulation data from Table 3. Characterization data (mean diameter, PI, zeta potential) from Table 4, specified for 3-MeOXAN nanocapsules with theoretical concentration of 1400 mg/mL.</t>
        </is>
      </c>
      <c r="L86">
        <f>IF(OR($F86="",$H86="",$I86="",$J86=""),"missing_required","")</f>
        <v/>
      </c>
      <c r="M86">
        <f>IF(COUNTIFS($A:$A,$A86,$D:$D,$D86)&gt;1,"duplicate_id","")</f>
        <v/>
      </c>
    </row>
    <row r="87">
      <c r="A87" t="inlineStr">
        <is>
          <t>L3H2RS2H</t>
        </is>
      </c>
      <c r="B87" t="inlineStr">
        <is>
          <t>10.1016/j.ejpb.2004.09.002</t>
        </is>
      </c>
      <c r="C87" s="2" t="inlineStr">
        <is>
          <t>Development and characterization of PLGA nanospheres and nanocapsules containing xanthone and 3-methoxyxanthone</t>
        </is>
      </c>
      <c r="D87" t="inlineStr">
        <is>
          <t>19</t>
        </is>
      </c>
      <c r="E87" s="3" t="inlineStr">
        <is>
          <t>3-Methoxyxanthone (3-MeOXAN)</t>
        </is>
      </c>
      <c r="F87" s="4" t="inlineStr">
        <is>
          <t>text_described</t>
        </is>
      </c>
      <c r="G87" s="3" t="inlineStr">
        <is>
          <t>fulltext</t>
        </is>
      </c>
      <c r="H87" s="4" t="inlineStr">
        <is>
          <t>yes</t>
        </is>
      </c>
      <c r="I87" s="4" t="inlineStr">
        <is>
          <t>medium</t>
        </is>
      </c>
      <c r="J87" s="4" t="inlineStr">
        <is>
          <t>pending</t>
        </is>
      </c>
      <c r="K87" s="3" t="inlineStr">
        <is>
          <t>3-MeOXAN-loaded nanocapsules. Soybean lecithin (100 mg) was also dissolved in acetone. Myritol 318 (0.5 mL) was used as the oil core. At this theoretical concentration, crystals of 3-MeOXAN were observed, and encapsulation efficiency was not determined (ND). Data from Table 3. No specific characterization data provided.</t>
        </is>
      </c>
      <c r="L87">
        <f>IF(OR($F87="",$H87="",$I87="",$J87=""),"missing_required","")</f>
        <v/>
      </c>
      <c r="M87">
        <f>IF(COUNTIFS($A:$A,$A87,$D:$D,$D87)&gt;1,"duplicate_id","")</f>
        <v/>
      </c>
    </row>
    <row r="88">
      <c r="A88" t="inlineStr">
        <is>
          <t>L3H2RS2H</t>
        </is>
      </c>
      <c r="B88" t="inlineStr">
        <is>
          <t>10.1016/j.ejpb.2004.09.002</t>
        </is>
      </c>
      <c r="C88" s="2" t="inlineStr">
        <is>
          <t>Development and characterization of PLGA nanospheres and nanocapsules containing xanthone and 3-methoxyxanthone</t>
        </is>
      </c>
      <c r="D88" t="inlineStr">
        <is>
          <t>2</t>
        </is>
      </c>
      <c r="E88" s="3" t="inlineStr">
        <is>
          <t>Xanthone (XAN)</t>
        </is>
      </c>
      <c r="F88" s="4" t="inlineStr">
        <is>
          <t>text_described</t>
        </is>
      </c>
      <c r="G88" s="3" t="inlineStr">
        <is>
          <t>fulltext</t>
        </is>
      </c>
      <c r="H88" s="4" t="inlineStr">
        <is>
          <t>yes</t>
        </is>
      </c>
      <c r="I88" s="4" t="inlineStr">
        <is>
          <t>medium</t>
        </is>
      </c>
      <c r="J88" s="4" t="inlineStr">
        <is>
          <t>pending</t>
        </is>
      </c>
      <c r="K88" s="3" t="inlineStr">
        <is>
          <t>XAN-loaded nanospheres. Encapsulation efficiency from Table 1. No specific size, PDI, or zeta potential data provided for this theoretical concentration (50 mg/mL).</t>
        </is>
      </c>
      <c r="L88">
        <f>IF(OR($F88="",$H88="",$I88="",$J88=""),"missing_required","")</f>
        <v/>
      </c>
      <c r="M88">
        <f>IF(COUNTIFS($A:$A,$A88,$D:$D,$D88)&gt;1,"duplicate_id","")</f>
        <v/>
      </c>
    </row>
    <row r="89">
      <c r="A89" t="inlineStr">
        <is>
          <t>L3H2RS2H</t>
        </is>
      </c>
      <c r="B89" t="inlineStr">
        <is>
          <t>10.1016/j.ejpb.2004.09.002</t>
        </is>
      </c>
      <c r="C89" s="2" t="inlineStr">
        <is>
          <t>Development and characterization of PLGA nanospheres and nanocapsules containing xanthone and 3-methoxyxanthone</t>
        </is>
      </c>
      <c r="D89" t="inlineStr">
        <is>
          <t>20</t>
        </is>
      </c>
      <c r="E89" s="3" t="inlineStr"/>
      <c r="F89" s="4" t="inlineStr">
        <is>
          <t>text_described</t>
        </is>
      </c>
      <c r="G89" s="3" t="inlineStr">
        <is>
          <t>fulltext</t>
        </is>
      </c>
      <c r="H89" s="4" t="inlineStr">
        <is>
          <t>yes</t>
        </is>
      </c>
      <c r="I89" s="4" t="inlineStr">
        <is>
          <t>medium</t>
        </is>
      </c>
      <c r="J89" s="4" t="inlineStr">
        <is>
          <t>pending</t>
        </is>
      </c>
      <c r="K89" s="3" t="inlineStr">
        <is>
          <t>Empty nanocapsules, prepared with 0.6 mL Myritol 318 oil core. Soybean lecithin (100 mg) was also dissolved in acetone. Data from Table 5.</t>
        </is>
      </c>
      <c r="L89">
        <f>IF(OR($F89="",$H89="",$I89="",$J89=""),"missing_required","")</f>
        <v/>
      </c>
      <c r="M89">
        <f>IF(COUNTIFS($A:$A,$A89,$D:$D,$D89)&gt;1,"duplicate_id","")</f>
        <v/>
      </c>
    </row>
    <row r="90">
      <c r="A90" t="inlineStr">
        <is>
          <t>L3H2RS2H</t>
        </is>
      </c>
      <c r="B90" t="inlineStr">
        <is>
          <t>10.1016/j.ejpb.2004.09.002</t>
        </is>
      </c>
      <c r="C90" s="2" t="inlineStr">
        <is>
          <t>Development and characterization of PLGA nanospheres and nanocapsules containing xanthone and 3-methoxyxanthone</t>
        </is>
      </c>
      <c r="D90" t="inlineStr">
        <is>
          <t>21</t>
        </is>
      </c>
      <c r="E90" s="3" t="inlineStr">
        <is>
          <t>Xanthone (XAN)</t>
        </is>
      </c>
      <c r="F90" s="4" t="inlineStr">
        <is>
          <t>text_described</t>
        </is>
      </c>
      <c r="G90" s="3" t="inlineStr">
        <is>
          <t>fulltext</t>
        </is>
      </c>
      <c r="H90" s="4" t="inlineStr">
        <is>
          <t>yes</t>
        </is>
      </c>
      <c r="I90" s="4" t="inlineStr">
        <is>
          <t>medium</t>
        </is>
      </c>
      <c r="J90" s="4" t="inlineStr">
        <is>
          <t>pending</t>
        </is>
      </c>
      <c r="K90" s="3" t="inlineStr">
        <is>
          <t>XAN-loaded nanocapsules, prepared with 0.6 mL Myritol 318 oil core (theoretical concentration of 1440 mg/mL). Soybean lecithin (100 mg) was also dissolved in acetone. Data from Table 5. No specific PDI or zeta potential value is provided for this formulation in Table 5 based on the provided text snippet.</t>
        </is>
      </c>
      <c r="L90">
        <f>IF(OR($F90="",$H90="",$I90="",$J90=""),"missing_required","")</f>
        <v/>
      </c>
      <c r="M90">
        <f>IF(COUNTIFS($A:$A,$A90,$D:$D,$D90)&gt;1,"duplicate_id","")</f>
        <v/>
      </c>
    </row>
    <row r="91">
      <c r="A91" t="inlineStr">
        <is>
          <t>L3H2RS2H</t>
        </is>
      </c>
      <c r="B91" t="inlineStr">
        <is>
          <t>10.1016/j.ejpb.2004.09.002</t>
        </is>
      </c>
      <c r="C91" s="2" t="inlineStr">
        <is>
          <t>Development and characterization of PLGA nanospheres and nanocapsules containing xanthone and 3-methoxyxanthone</t>
        </is>
      </c>
      <c r="D91" t="inlineStr">
        <is>
          <t>22</t>
        </is>
      </c>
      <c r="E91" s="3" t="inlineStr">
        <is>
          <t>3-Methoxyxanthone (3-MeOXAN)</t>
        </is>
      </c>
      <c r="F91" s="4" t="inlineStr">
        <is>
          <t>text_described</t>
        </is>
      </c>
      <c r="G91" s="3" t="inlineStr">
        <is>
          <t>fulltext</t>
        </is>
      </c>
      <c r="H91" s="4" t="inlineStr">
        <is>
          <t>yes</t>
        </is>
      </c>
      <c r="I91" s="4" t="inlineStr">
        <is>
          <t>medium</t>
        </is>
      </c>
      <c r="J91" s="4" t="inlineStr">
        <is>
          <t>pending</t>
        </is>
      </c>
      <c r="K91" s="3" t="inlineStr">
        <is>
          <t>3-MeOXAN-loaded nanocapsules, prepared with 0.6 mL Myritol 318 oil core (theoretical concentration of 3360 mg/mL). Soybean lecithin (100 mg) was also dissolved in acetone. Data from Table 5. The row for this formulation is incomplete/cut-off in the provided text, so all characterization and EE fields are null.</t>
        </is>
      </c>
      <c r="L91">
        <f>IF(OR($F91="",$H91="",$I91="",$J91=""),"missing_required","")</f>
        <v/>
      </c>
      <c r="M91">
        <f>IF(COUNTIFS($A:$A,$A91,$D:$D,$D91)&gt;1,"duplicate_id","")</f>
        <v/>
      </c>
    </row>
    <row r="92">
      <c r="A92" t="inlineStr">
        <is>
          <t>L3H2RS2H</t>
        </is>
      </c>
      <c r="B92" t="inlineStr">
        <is>
          <t>10.1016/j.ejpb.2004.09.002</t>
        </is>
      </c>
      <c r="C92" s="2" t="inlineStr">
        <is>
          <t>Development and characterization of PLGA nanospheres and nanocapsules containing xanthone and 3-methoxyxanthone</t>
        </is>
      </c>
      <c r="D92" t="inlineStr">
        <is>
          <t>3</t>
        </is>
      </c>
      <c r="E92" s="3" t="inlineStr">
        <is>
          <t>Xanthone (XAN)</t>
        </is>
      </c>
      <c r="F92" s="4" t="inlineStr">
        <is>
          <t>text_described</t>
        </is>
      </c>
      <c r="G92" s="3" t="inlineStr">
        <is>
          <t>fulltext</t>
        </is>
      </c>
      <c r="H92" s="4" t="inlineStr">
        <is>
          <t>yes</t>
        </is>
      </c>
      <c r="I92" s="4" t="inlineStr">
        <is>
          <t>medium</t>
        </is>
      </c>
      <c r="J92" s="4" t="inlineStr">
        <is>
          <t>pending</t>
        </is>
      </c>
      <c r="K92" s="3" t="inlineStr">
        <is>
          <t>XAN-loaded nanospheres. Encapsulation efficiency from Table 1. Characterization data (mean diameter, PI, zeta potential) from Table 2, specified for XAN nanospheres with theoretical concentration of 60 mg/mL.</t>
        </is>
      </c>
      <c r="L92">
        <f>IF(OR($F92="",$H92="",$I92="",$J92=""),"missing_required","")</f>
        <v/>
      </c>
      <c r="M92">
        <f>IF(COUNTIFS($A:$A,$A92,$D:$D,$D92)&gt;1,"duplicate_id","")</f>
        <v/>
      </c>
    </row>
    <row r="93">
      <c r="A93" t="inlineStr">
        <is>
          <t>L3H2RS2H</t>
        </is>
      </c>
      <c r="B93" t="inlineStr">
        <is>
          <t>10.1016/j.ejpb.2004.09.002</t>
        </is>
      </c>
      <c r="C93" s="2" t="inlineStr">
        <is>
          <t>Development and characterization of PLGA nanospheres and nanocapsules containing xanthone and 3-methoxyxanthone</t>
        </is>
      </c>
      <c r="D93" t="inlineStr">
        <is>
          <t>4</t>
        </is>
      </c>
      <c r="E93" s="3" t="inlineStr">
        <is>
          <t>Xanthone (XAN)</t>
        </is>
      </c>
      <c r="F93" s="4" t="inlineStr">
        <is>
          <t>text_described</t>
        </is>
      </c>
      <c r="G93" s="3" t="inlineStr">
        <is>
          <t>fulltext</t>
        </is>
      </c>
      <c r="H93" s="4" t="inlineStr">
        <is>
          <t>yes</t>
        </is>
      </c>
      <c r="I93" s="4" t="inlineStr">
        <is>
          <t>medium</t>
        </is>
      </c>
      <c r="J93" s="4" t="inlineStr">
        <is>
          <t>pending</t>
        </is>
      </c>
      <c r="K93" s="3" t="inlineStr">
        <is>
          <t>XAN-loaded nanospheres. At this theoretical concentration, crystals of XAN were observed, and encapsulation efficiency was not determined (ND). Data from Table 1. No specific characterization data provided.</t>
        </is>
      </c>
      <c r="L93">
        <f>IF(OR($F93="",$H93="",$I93="",$J93=""),"missing_required","")</f>
        <v/>
      </c>
      <c r="M93">
        <f>IF(COUNTIFS($A:$A,$A93,$D:$D,$D93)&gt;1,"duplicate_id","")</f>
        <v/>
      </c>
    </row>
    <row r="94">
      <c r="A94" t="inlineStr">
        <is>
          <t>L3H2RS2H</t>
        </is>
      </c>
      <c r="B94" t="inlineStr">
        <is>
          <t>10.1016/j.ejpb.2004.09.002</t>
        </is>
      </c>
      <c r="C94" s="2" t="inlineStr">
        <is>
          <t>Development and characterization of PLGA nanospheres and nanocapsules containing xanthone and 3-methoxyxanthone</t>
        </is>
      </c>
      <c r="D94" t="inlineStr">
        <is>
          <t>5</t>
        </is>
      </c>
      <c r="E94" s="3" t="inlineStr">
        <is>
          <t>Xanthone (XAN)</t>
        </is>
      </c>
      <c r="F94" s="4" t="inlineStr">
        <is>
          <t>text_described</t>
        </is>
      </c>
      <c r="G94" s="3" t="inlineStr">
        <is>
          <t>fulltext</t>
        </is>
      </c>
      <c r="H94" s="4" t="inlineStr">
        <is>
          <t>yes</t>
        </is>
      </c>
      <c r="I94" s="4" t="inlineStr">
        <is>
          <t>medium</t>
        </is>
      </c>
      <c r="J94" s="4" t="inlineStr">
        <is>
          <t>pending</t>
        </is>
      </c>
      <c r="K94" s="3" t="inlineStr">
        <is>
          <t>XAN-loaded nanospheres. At this theoretical concentration, crystals of XAN were observed, and encapsulation efficiency was not determined (ND). Data from Table 1. No specific characterization data provided.</t>
        </is>
      </c>
      <c r="L94">
        <f>IF(OR($F94="",$H94="",$I94="",$J94=""),"missing_required","")</f>
        <v/>
      </c>
      <c r="M94">
        <f>IF(COUNTIFS($A:$A,$A94,$D:$D,$D94)&gt;1,"duplicate_id","")</f>
        <v/>
      </c>
    </row>
    <row r="95">
      <c r="A95" t="inlineStr">
        <is>
          <t>L3H2RS2H</t>
        </is>
      </c>
      <c r="B95" t="inlineStr">
        <is>
          <t>10.1016/j.ejpb.2004.09.002</t>
        </is>
      </c>
      <c r="C95" s="2" t="inlineStr">
        <is>
          <t>Development and characterization of PLGA nanospheres and nanocapsules containing xanthone and 3-methoxyxanthone</t>
        </is>
      </c>
      <c r="D95" t="inlineStr">
        <is>
          <t>6</t>
        </is>
      </c>
      <c r="E95" s="3" t="inlineStr">
        <is>
          <t>3-Methoxyxanthone (3-MeOXAN)</t>
        </is>
      </c>
      <c r="F95" s="4" t="inlineStr">
        <is>
          <t>text_described</t>
        </is>
      </c>
      <c r="G95" s="3" t="inlineStr">
        <is>
          <t>fulltext</t>
        </is>
      </c>
      <c r="H95" s="4" t="inlineStr">
        <is>
          <t>yes</t>
        </is>
      </c>
      <c r="I95" s="4" t="inlineStr">
        <is>
          <t>medium</t>
        </is>
      </c>
      <c r="J95" s="4" t="inlineStr">
        <is>
          <t>pending</t>
        </is>
      </c>
      <c r="K95" s="3" t="inlineStr">
        <is>
          <t>3-MeOXAN-loaded nanospheres. Encapsulation efficiency from Table 1. No specific size, PDI, or zeta potential data provided for this theoretical concentration (50 mg/mL).</t>
        </is>
      </c>
      <c r="L95">
        <f>IF(OR($F95="",$H95="",$I95="",$J95=""),"missing_required","")</f>
        <v/>
      </c>
      <c r="M95">
        <f>IF(COUNTIFS($A:$A,$A95,$D:$D,$D95)&gt;1,"duplicate_id","")</f>
        <v/>
      </c>
    </row>
    <row r="96">
      <c r="A96" t="inlineStr">
        <is>
          <t>L3H2RS2H</t>
        </is>
      </c>
      <c r="B96" t="inlineStr">
        <is>
          <t>10.1016/j.ejpb.2004.09.002</t>
        </is>
      </c>
      <c r="C96" s="2" t="inlineStr">
        <is>
          <t>Development and characterization of PLGA nanospheres and nanocapsules containing xanthone and 3-methoxyxanthone</t>
        </is>
      </c>
      <c r="D96" t="inlineStr">
        <is>
          <t>7</t>
        </is>
      </c>
      <c r="E96" s="3" t="inlineStr">
        <is>
          <t>3-Methoxyxanthone (3-MeOXAN)</t>
        </is>
      </c>
      <c r="F96" s="4" t="inlineStr">
        <is>
          <t>text_described</t>
        </is>
      </c>
      <c r="G96" s="3" t="inlineStr">
        <is>
          <t>fulltext</t>
        </is>
      </c>
      <c r="H96" s="4" t="inlineStr">
        <is>
          <t>yes</t>
        </is>
      </c>
      <c r="I96" s="4" t="inlineStr">
        <is>
          <t>medium</t>
        </is>
      </c>
      <c r="J96" s="4" t="inlineStr">
        <is>
          <t>pending</t>
        </is>
      </c>
      <c r="K96" s="3" t="inlineStr">
        <is>
          <t>3-MeOXAN-loaded nanospheres. Encapsulation efficiency from Table 1. Characterization data (mean diameter, PI, zeta potential) from Table 2, specified for 3-MeOXAN nanospheres with theoretical concentration of 60 mg/mL.</t>
        </is>
      </c>
      <c r="L96">
        <f>IF(OR($F96="",$H96="",$I96="",$J96=""),"missing_required","")</f>
        <v/>
      </c>
      <c r="M96">
        <f>IF(COUNTIFS($A:$A,$A96,$D:$D,$D96)&gt;1,"duplicate_id","")</f>
        <v/>
      </c>
    </row>
    <row r="97">
      <c r="A97" t="inlineStr">
        <is>
          <t>L3H2RS2H</t>
        </is>
      </c>
      <c r="B97" t="inlineStr">
        <is>
          <t>10.1016/j.ejpb.2004.09.002</t>
        </is>
      </c>
      <c r="C97" s="2" t="inlineStr">
        <is>
          <t>Development and characterization of PLGA nanospheres and nanocapsules containing xanthone and 3-methoxyxanthone</t>
        </is>
      </c>
      <c r="D97" t="inlineStr">
        <is>
          <t>8</t>
        </is>
      </c>
      <c r="E97" s="3" t="inlineStr">
        <is>
          <t>3-Methoxyxanthone (3-MeOXAN)</t>
        </is>
      </c>
      <c r="F97" s="4" t="inlineStr">
        <is>
          <t>text_described</t>
        </is>
      </c>
      <c r="G97" s="3" t="inlineStr">
        <is>
          <t>fulltext</t>
        </is>
      </c>
      <c r="H97" s="4" t="inlineStr">
        <is>
          <t>yes</t>
        </is>
      </c>
      <c r="I97" s="4" t="inlineStr">
        <is>
          <t>medium</t>
        </is>
      </c>
      <c r="J97" s="4" t="inlineStr">
        <is>
          <t>pending</t>
        </is>
      </c>
      <c r="K97" s="3" t="inlineStr">
        <is>
          <t>3-MeOXAN-loaded nanospheres. At this theoretical concentration, crystals of 3-MeOXAN were observed, and encapsulation efficiency was not determined (ND). Data from Table 1. No specific characterization data provided.</t>
        </is>
      </c>
      <c r="L97">
        <f>IF(OR($F97="",$H97="",$I97="",$J97=""),"missing_required","")</f>
        <v/>
      </c>
      <c r="M97">
        <f>IF(COUNTIFS($A:$A,$A97,$D:$D,$D97)&gt;1,"duplicate_id","")</f>
        <v/>
      </c>
    </row>
    <row r="98">
      <c r="A98" t="inlineStr">
        <is>
          <t>L3H2RS2H</t>
        </is>
      </c>
      <c r="B98" t="inlineStr">
        <is>
          <t>10.1016/j.ejpb.2004.09.002</t>
        </is>
      </c>
      <c r="C98" s="2" t="inlineStr">
        <is>
          <t>Development and characterization of PLGA nanospheres and nanocapsules containing xanthone and 3-methoxyxanthone</t>
        </is>
      </c>
      <c r="D98" t="inlineStr">
        <is>
          <t>9</t>
        </is>
      </c>
      <c r="E98" s="3" t="inlineStr">
        <is>
          <t>3-Methoxyxanthone (3-MeOXAN)</t>
        </is>
      </c>
      <c r="F98" s="4" t="inlineStr">
        <is>
          <t>text_described</t>
        </is>
      </c>
      <c r="G98" s="3" t="inlineStr">
        <is>
          <t>fulltext</t>
        </is>
      </c>
      <c r="H98" s="4" t="inlineStr">
        <is>
          <t>yes</t>
        </is>
      </c>
      <c r="I98" s="4" t="inlineStr">
        <is>
          <t>medium</t>
        </is>
      </c>
      <c r="J98" s="4" t="inlineStr">
        <is>
          <t>pending</t>
        </is>
      </c>
      <c r="K98" s="3" t="inlineStr">
        <is>
          <t>3-MeOXAN-loaded nanospheres. At this theoretical concentration, crystals of 3-MeOXAN were observed, and encapsulation efficiency was not determined (ND). Data from Table 1. No specific characterization data provided.</t>
        </is>
      </c>
      <c r="L98">
        <f>IF(OR($F98="",$H98="",$I98="",$J98=""),"missing_required","")</f>
        <v/>
      </c>
      <c r="M98">
        <f>IF(COUNTIFS($A:$A,$A98,$D:$D,$D98)&gt;1,"duplicate_id","")</f>
        <v/>
      </c>
    </row>
    <row r="99">
      <c r="A99" t="inlineStr">
        <is>
          <t>PA3SPZ28</t>
        </is>
      </c>
      <c r="B99" t="inlineStr">
        <is>
          <t>10.1038/s41598-017-00696-6</t>
        </is>
      </c>
      <c r="C99" s="2" t="inlineStr">
        <is>
          <t>Garcinol loaded vitamin E TPGS emulsified PLGA nanoparticles: preparation, physicochemical characterization, in vitro and in vivo studies</t>
        </is>
      </c>
      <c r="D99" t="inlineStr">
        <is>
          <t>1</t>
        </is>
      </c>
      <c r="E99" s="3" t="inlineStr">
        <is>
          <t>Garcinol</t>
        </is>
      </c>
      <c r="F99" s="4" t="inlineStr">
        <is>
          <t>text_described</t>
        </is>
      </c>
      <c r="G99" s="3" t="inlineStr">
        <is>
          <t>fulltext</t>
        </is>
      </c>
      <c r="H99" s="4" t="inlineStr">
        <is>
          <t>yes</t>
        </is>
      </c>
      <c r="I99" s="4" t="inlineStr">
        <is>
          <t>medium</t>
        </is>
      </c>
      <c r="J99" s="4" t="inlineStr">
        <is>
          <t>pending</t>
        </is>
      </c>
      <c r="K99" s="3" t="inlineStr">
        <is>
          <t>Characterization of freshly prepared nanoparticles with a drug:polymer ratio of 1:20, as reported in Table 1.</t>
        </is>
      </c>
      <c r="L99">
        <f>IF(OR($F99="",$H99="",$I99="",$J99=""),"missing_required","")</f>
        <v/>
      </c>
      <c r="M99">
        <f>IF(COUNTIFS($A:$A,$A99,$D:$D,$D99)&gt;1,"duplicate_id","")</f>
        <v/>
      </c>
    </row>
    <row r="100">
      <c r="A100" t="inlineStr">
        <is>
          <t>PA3SPZ28</t>
        </is>
      </c>
      <c r="B100" t="inlineStr">
        <is>
          <t>10.1038/s41598-017-00696-6</t>
        </is>
      </c>
      <c r="C100" s="2" t="inlineStr">
        <is>
          <t>Garcinol loaded vitamin E TPGS emulsified PLGA nanoparticles: preparation, physicochemical characterization, in vitro and in vivo studies</t>
        </is>
      </c>
      <c r="D100" t="inlineStr">
        <is>
          <t>2</t>
        </is>
      </c>
      <c r="E100" s="3" t="inlineStr">
        <is>
          <t>Garcinol</t>
        </is>
      </c>
      <c r="F100" s="4" t="inlineStr">
        <is>
          <t>text_described</t>
        </is>
      </c>
      <c r="G100" s="3" t="inlineStr">
        <is>
          <t>fulltext</t>
        </is>
      </c>
      <c r="H100" s="4" t="inlineStr">
        <is>
          <t>yes</t>
        </is>
      </c>
      <c r="I100" s="4" t="inlineStr">
        <is>
          <t>medium</t>
        </is>
      </c>
      <c r="J100" s="4" t="inlineStr">
        <is>
          <t>pending</t>
        </is>
      </c>
      <c r="K100" s="3" t="inlineStr">
        <is>
          <t>Characterization of freshly prepared nanoparticles with a drug:polymer ratio of 1:10, as reported in Table 1. This formulation yielded the highest drug loading content and encapsulation efficiency.</t>
        </is>
      </c>
      <c r="L100">
        <f>IF(OR($F100="",$H100="",$I100="",$J100=""),"missing_required","")</f>
        <v/>
      </c>
      <c r="M100">
        <f>IF(COUNTIFS($A:$A,$A100,$D:$D,$D100)&gt;1,"duplicate_id","")</f>
        <v/>
      </c>
    </row>
    <row r="101">
      <c r="A101" t="inlineStr">
        <is>
          <t>PA3SPZ28</t>
        </is>
      </c>
      <c r="B101" t="inlineStr">
        <is>
          <t>10.1038/s41598-017-00696-6</t>
        </is>
      </c>
      <c r="C101" s="2" t="inlineStr">
        <is>
          <t>Garcinol loaded vitamin E TPGS emulsified PLGA nanoparticles: preparation, physicochemical characterization, in vitro and in vivo studies</t>
        </is>
      </c>
      <c r="D101" t="inlineStr">
        <is>
          <t>3</t>
        </is>
      </c>
      <c r="E101" s="3" t="inlineStr">
        <is>
          <t>Garcinol</t>
        </is>
      </c>
      <c r="F101" s="4" t="inlineStr">
        <is>
          <t>text_described</t>
        </is>
      </c>
      <c r="G101" s="3" t="inlineStr">
        <is>
          <t>fulltext</t>
        </is>
      </c>
      <c r="H101" s="4" t="inlineStr">
        <is>
          <t>yes</t>
        </is>
      </c>
      <c r="I101" s="4" t="inlineStr">
        <is>
          <t>medium</t>
        </is>
      </c>
      <c r="J101" s="4" t="inlineStr">
        <is>
          <t>pending</t>
        </is>
      </c>
      <c r="K101" s="3" t="inlineStr">
        <is>
          <t>Characterization of nanoparticles with a drug:polymer ratio of 1:10 after storage at 4°C for 3 months, as reported in Table 1. Drug loading and encapsulation efficiency were not reported for the stored sample.</t>
        </is>
      </c>
      <c r="L101">
        <f>IF(OR($F101="",$H101="",$I101="",$J101=""),"missing_required","")</f>
        <v/>
      </c>
      <c r="M101">
        <f>IF(COUNTIFS($A:$A,$A101,$D:$D,$D101)&gt;1,"duplicate_id","")</f>
        <v/>
      </c>
    </row>
    <row r="102">
      <c r="A102" t="inlineStr">
        <is>
          <t>PA3SPZ28</t>
        </is>
      </c>
      <c r="B102" t="inlineStr">
        <is>
          <t>10.1038/s41598-017-00696-6</t>
        </is>
      </c>
      <c r="C102" s="2" t="inlineStr">
        <is>
          <t>Garcinol loaded vitamin E TPGS emulsified PLGA nanoparticles: preparation, physicochemical characterization, in vitro and in vivo studies</t>
        </is>
      </c>
      <c r="D102" t="inlineStr">
        <is>
          <t>4</t>
        </is>
      </c>
      <c r="E102" s="3" t="inlineStr">
        <is>
          <t>Garcinol</t>
        </is>
      </c>
      <c r="F102" s="4" t="inlineStr">
        <is>
          <t>text_described</t>
        </is>
      </c>
      <c r="G102" s="3" t="inlineStr">
        <is>
          <t>fulltext</t>
        </is>
      </c>
      <c r="H102" s="4" t="inlineStr">
        <is>
          <t>yes</t>
        </is>
      </c>
      <c r="I102" s="4" t="inlineStr">
        <is>
          <t>medium</t>
        </is>
      </c>
      <c r="J102" s="4" t="inlineStr">
        <is>
          <t>pending</t>
        </is>
      </c>
      <c r="K102" s="3" t="inlineStr">
        <is>
          <t>Characterization of freshly prepared nanoparticles with a drug:polymer ratio of 1:6.66, as reported in Table 1.</t>
        </is>
      </c>
      <c r="L102">
        <f>IF(OR($F102="",$H102="",$I102="",$J102=""),"missing_required","")</f>
        <v/>
      </c>
      <c r="M102">
        <f>IF(COUNTIFS($A:$A,$A102,$D:$D,$D102)&gt;1,"duplicate_id","")</f>
        <v/>
      </c>
    </row>
    <row r="103">
      <c r="A103" t="inlineStr">
        <is>
          <t>QLYKLPKT</t>
        </is>
      </c>
      <c r="B103" t="inlineStr">
        <is>
          <t>10.2147/ijn.s54040</t>
        </is>
      </c>
      <c r="C103" s="2" t="inlineStr">
        <is>
          <t>Development of PLGA-based itraconazole injectable nanospheres for sustained release</t>
        </is>
      </c>
      <c r="D103" t="inlineStr">
        <is>
          <t>1</t>
        </is>
      </c>
      <c r="E103" s="3" t="inlineStr"/>
      <c r="F103" s="4" t="inlineStr">
        <is>
          <t>text_described</t>
        </is>
      </c>
      <c r="G103" s="3" t="inlineStr">
        <is>
          <t>fulltext</t>
        </is>
      </c>
      <c r="H103" s="4" t="inlineStr">
        <is>
          <t>yes</t>
        </is>
      </c>
      <c r="I103" s="4" t="inlineStr">
        <is>
          <t>medium</t>
        </is>
      </c>
      <c r="J103" s="4" t="inlineStr">
        <is>
          <t>pending</t>
        </is>
      </c>
      <c r="K103" s="3" t="inlineStr">
        <is>
          <t>Unloaded PLGA nanoparticles, prepared with 2.5 mg/mL poloxamer 188 (Table 1)</t>
        </is>
      </c>
      <c r="L103">
        <f>IF(OR($F103="",$H103="",$I103="",$J103=""),"missing_required","")</f>
        <v/>
      </c>
      <c r="M103">
        <f>IF(COUNTIFS($A:$A,$A103,$D:$D,$D103)&gt;1,"duplicate_id","")</f>
        <v/>
      </c>
    </row>
    <row r="104">
      <c r="A104" t="inlineStr">
        <is>
          <t>QLYKLPKT</t>
        </is>
      </c>
      <c r="B104" t="inlineStr">
        <is>
          <t>10.2147/ijn.s54040</t>
        </is>
      </c>
      <c r="C104" s="2" t="inlineStr">
        <is>
          <t>Development of PLGA-based itraconazole injectable nanospheres for sustained release</t>
        </is>
      </c>
      <c r="D104" t="inlineStr">
        <is>
          <t>10</t>
        </is>
      </c>
      <c r="E104" s="3" t="inlineStr">
        <is>
          <t>Itraconazole</t>
        </is>
      </c>
      <c r="F104" s="4" t="inlineStr">
        <is>
          <t>text_described</t>
        </is>
      </c>
      <c r="G104" s="3" t="inlineStr">
        <is>
          <t>fulltext</t>
        </is>
      </c>
      <c r="H104" s="4" t="inlineStr">
        <is>
          <t>yes</t>
        </is>
      </c>
      <c r="I104" s="4" t="inlineStr">
        <is>
          <t>medium</t>
        </is>
      </c>
      <c r="J104" s="4" t="inlineStr">
        <is>
          <t>pending</t>
        </is>
      </c>
      <c r="K104" s="3" t="inlineStr">
        <is>
          <t>Optimal PLGA-ITZ-NS (from Table 2, 10:1 ratio) after freeze-drying with 10% w/v sucrose as lyoprotectant (Table 3).</t>
        </is>
      </c>
      <c r="L104">
        <f>IF(OR($F104="",$H104="",$I104="",$J104=""),"missing_required","")</f>
        <v/>
      </c>
      <c r="M104">
        <f>IF(COUNTIFS($A:$A,$A104,$D:$D,$D104)&gt;1,"duplicate_id","")</f>
        <v/>
      </c>
    </row>
    <row r="105">
      <c r="A105" t="inlineStr">
        <is>
          <t>QLYKLPKT</t>
        </is>
      </c>
      <c r="B105" t="inlineStr">
        <is>
          <t>10.2147/ijn.s54040</t>
        </is>
      </c>
      <c r="C105" s="2" t="inlineStr">
        <is>
          <t>Development of PLGA-based itraconazole injectable nanospheres for sustained release</t>
        </is>
      </c>
      <c r="D105" t="inlineStr">
        <is>
          <t>11</t>
        </is>
      </c>
      <c r="E105" s="3" t="inlineStr">
        <is>
          <t>Itraconazole</t>
        </is>
      </c>
      <c r="F105" s="4" t="inlineStr">
        <is>
          <t>text_described</t>
        </is>
      </c>
      <c r="G105" s="3" t="inlineStr">
        <is>
          <t>fulltext</t>
        </is>
      </c>
      <c r="H105" s="4" t="inlineStr">
        <is>
          <t>yes</t>
        </is>
      </c>
      <c r="I105" s="4" t="inlineStr">
        <is>
          <t>medium</t>
        </is>
      </c>
      <c r="J105" s="4" t="inlineStr">
        <is>
          <t>pending</t>
        </is>
      </c>
      <c r="K105" s="3" t="inlineStr">
        <is>
          <t>Optimal PLGA-ITZ-NS (from Table 2, 10:1 ratio) after freeze-drying with 2% w/v mannitol as lyoprotectant (Table 3).</t>
        </is>
      </c>
      <c r="L105">
        <f>IF(OR($F105="",$H105="",$I105="",$J105=""),"missing_required","")</f>
        <v/>
      </c>
      <c r="M105">
        <f>IF(COUNTIFS($A:$A,$A105,$D:$D,$D105)&gt;1,"duplicate_id","")</f>
        <v/>
      </c>
    </row>
    <row r="106">
      <c r="A106" t="inlineStr">
        <is>
          <t>QLYKLPKT</t>
        </is>
      </c>
      <c r="B106" t="inlineStr">
        <is>
          <t>10.2147/ijn.s54040</t>
        </is>
      </c>
      <c r="C106" s="2" t="inlineStr">
        <is>
          <t>Development of PLGA-based itraconazole injectable nanospheres for sustained release</t>
        </is>
      </c>
      <c r="D106" t="inlineStr">
        <is>
          <t>12</t>
        </is>
      </c>
      <c r="E106" s="3" t="inlineStr">
        <is>
          <t>Itraconazole</t>
        </is>
      </c>
      <c r="F106" s="4" t="inlineStr">
        <is>
          <t>text_described</t>
        </is>
      </c>
      <c r="G106" s="3" t="inlineStr">
        <is>
          <t>fulltext</t>
        </is>
      </c>
      <c r="H106" s="4" t="inlineStr">
        <is>
          <t>yes</t>
        </is>
      </c>
      <c r="I106" s="4" t="inlineStr">
        <is>
          <t>medium</t>
        </is>
      </c>
      <c r="J106" s="4" t="inlineStr">
        <is>
          <t>pending</t>
        </is>
      </c>
      <c r="K106" s="3" t="inlineStr">
        <is>
          <t>Optimal PLGA-ITZ-NS (from Table 2, 10:1 ratio) after freeze-drying with 5% w/v mannitol as lyoprotectant (Table 3).</t>
        </is>
      </c>
      <c r="L106">
        <f>IF(OR($F106="",$H106="",$I106="",$J106=""),"missing_required","")</f>
        <v/>
      </c>
      <c r="M106">
        <f>IF(COUNTIFS($A:$A,$A106,$D:$D,$D106)&gt;1,"duplicate_id","")</f>
        <v/>
      </c>
    </row>
    <row r="107">
      <c r="A107" t="inlineStr">
        <is>
          <t>QLYKLPKT</t>
        </is>
      </c>
      <c r="B107" t="inlineStr">
        <is>
          <t>10.2147/ijn.s54040</t>
        </is>
      </c>
      <c r="C107" s="2" t="inlineStr">
        <is>
          <t>Development of PLGA-based itraconazole injectable nanospheres for sustained release</t>
        </is>
      </c>
      <c r="D107" t="inlineStr">
        <is>
          <t>13</t>
        </is>
      </c>
      <c r="E107" s="3" t="inlineStr">
        <is>
          <t>Itraconazole</t>
        </is>
      </c>
      <c r="F107" s="4" t="inlineStr">
        <is>
          <t>text_described</t>
        </is>
      </c>
      <c r="G107" s="3" t="inlineStr">
        <is>
          <t>fulltext</t>
        </is>
      </c>
      <c r="H107" s="4" t="inlineStr">
        <is>
          <t>yes</t>
        </is>
      </c>
      <c r="I107" s="4" t="inlineStr">
        <is>
          <t>medium</t>
        </is>
      </c>
      <c r="J107" s="4" t="inlineStr">
        <is>
          <t>pending</t>
        </is>
      </c>
      <c r="K107" s="3" t="inlineStr">
        <is>
          <t>Optimal PLGA-ITZ-NS (from Table 2, 10:1 ratio) after freeze-drying with 10% w/v mannitol as lyoprotectant (Table 3).</t>
        </is>
      </c>
      <c r="L107">
        <f>IF(OR($F107="",$H107="",$I107="",$J107=""),"missing_required","")</f>
        <v/>
      </c>
      <c r="M107">
        <f>IF(COUNTIFS($A:$A,$A107,$D:$D,$D107)&gt;1,"duplicate_id","")</f>
        <v/>
      </c>
    </row>
    <row r="108">
      <c r="A108" t="inlineStr">
        <is>
          <t>QLYKLPKT</t>
        </is>
      </c>
      <c r="B108" t="inlineStr">
        <is>
          <t>10.2147/ijn.s54040</t>
        </is>
      </c>
      <c r="C108" s="2" t="inlineStr">
        <is>
          <t>Development of PLGA-based itraconazole injectable nanospheres for sustained release</t>
        </is>
      </c>
      <c r="D108" t="inlineStr">
        <is>
          <t>14</t>
        </is>
      </c>
      <c r="E108" s="3" t="inlineStr">
        <is>
          <t>Itraconazole</t>
        </is>
      </c>
      <c r="F108" s="4" t="inlineStr">
        <is>
          <t>text_described</t>
        </is>
      </c>
      <c r="G108" s="3" t="inlineStr">
        <is>
          <t>fulltext</t>
        </is>
      </c>
      <c r="H108" s="4" t="inlineStr">
        <is>
          <t>yes</t>
        </is>
      </c>
      <c r="I108" s="4" t="inlineStr">
        <is>
          <t>medium</t>
        </is>
      </c>
      <c r="J108" s="4" t="inlineStr">
        <is>
          <t>pending</t>
        </is>
      </c>
      <c r="K108" s="3" t="inlineStr">
        <is>
          <t>Optimal PLGA-ITZ-NS (from Table 2, 10:1 ratio) after freeze-drying with 2% w/v dextrose as lyoprotectant (Table 3).</t>
        </is>
      </c>
      <c r="L108">
        <f>IF(OR($F108="",$H108="",$I108="",$J108=""),"missing_required","")</f>
        <v/>
      </c>
      <c r="M108">
        <f>IF(COUNTIFS($A:$A,$A108,$D:$D,$D108)&gt;1,"duplicate_id","")</f>
        <v/>
      </c>
    </row>
    <row r="109">
      <c r="A109" t="inlineStr">
        <is>
          <t>QLYKLPKT</t>
        </is>
      </c>
      <c r="B109" t="inlineStr">
        <is>
          <t>10.2147/ijn.s54040</t>
        </is>
      </c>
      <c r="C109" s="2" t="inlineStr">
        <is>
          <t>Development of PLGA-based itraconazole injectable nanospheres for sustained release</t>
        </is>
      </c>
      <c r="D109" t="inlineStr">
        <is>
          <t>15</t>
        </is>
      </c>
      <c r="E109" s="3" t="inlineStr">
        <is>
          <t>Itraconazole</t>
        </is>
      </c>
      <c r="F109" s="4" t="inlineStr">
        <is>
          <t>text_described</t>
        </is>
      </c>
      <c r="G109" s="3" t="inlineStr">
        <is>
          <t>fulltext</t>
        </is>
      </c>
      <c r="H109" s="4" t="inlineStr">
        <is>
          <t>yes</t>
        </is>
      </c>
      <c r="I109" s="4" t="inlineStr">
        <is>
          <t>medium</t>
        </is>
      </c>
      <c r="J109" s="4" t="inlineStr">
        <is>
          <t>pending</t>
        </is>
      </c>
      <c r="K109" s="3" t="inlineStr">
        <is>
          <t>Optimal PLGA-ITZ-NS (from Table 2, 10:1 ratio) after freeze-drying with 5% w/v dextrose as lyoprotectant (Table 3).</t>
        </is>
      </c>
      <c r="L109">
        <f>IF(OR($F109="",$H109="",$I109="",$J109=""),"missing_required","")</f>
        <v/>
      </c>
      <c r="M109">
        <f>IF(COUNTIFS($A:$A,$A109,$D:$D,$D109)&gt;1,"duplicate_id","")</f>
        <v/>
      </c>
    </row>
    <row r="110">
      <c r="A110" t="inlineStr">
        <is>
          <t>QLYKLPKT</t>
        </is>
      </c>
      <c r="B110" t="inlineStr">
        <is>
          <t>10.2147/ijn.s54040</t>
        </is>
      </c>
      <c r="C110" s="2" t="inlineStr">
        <is>
          <t>Development of PLGA-based itraconazole injectable nanospheres for sustained release</t>
        </is>
      </c>
      <c r="D110" t="inlineStr">
        <is>
          <t>16</t>
        </is>
      </c>
      <c r="E110" s="3" t="inlineStr">
        <is>
          <t>Itraconazole</t>
        </is>
      </c>
      <c r="F110" s="4" t="inlineStr">
        <is>
          <t>text_described</t>
        </is>
      </c>
      <c r="G110" s="3" t="inlineStr">
        <is>
          <t>fulltext</t>
        </is>
      </c>
      <c r="H110" s="4" t="inlineStr">
        <is>
          <t>yes</t>
        </is>
      </c>
      <c r="I110" s="4" t="inlineStr">
        <is>
          <t>medium</t>
        </is>
      </c>
      <c r="J110" s="4" t="inlineStr">
        <is>
          <t>pending</t>
        </is>
      </c>
      <c r="K110" s="3" t="inlineStr">
        <is>
          <t>Optimal PLGA-ITZ-NS (from Table 2, 10:1 ratio) after freeze-drying with 10% w/v dextrose as lyoprotectant (Table 3).</t>
        </is>
      </c>
      <c r="L110">
        <f>IF(OR($F110="",$H110="",$I110="",$J110=""),"missing_required","")</f>
        <v/>
      </c>
      <c r="M110">
        <f>IF(COUNTIFS($A:$A,$A110,$D:$D,$D110)&gt;1,"duplicate_id","")</f>
        <v/>
      </c>
    </row>
    <row r="111">
      <c r="A111" t="inlineStr">
        <is>
          <t>QLYKLPKT</t>
        </is>
      </c>
      <c r="B111" t="inlineStr">
        <is>
          <t>10.2147/ijn.s54040</t>
        </is>
      </c>
      <c r="C111" s="2" t="inlineStr">
        <is>
          <t>Development of PLGA-based itraconazole injectable nanospheres for sustained release</t>
        </is>
      </c>
      <c r="D111" t="inlineStr">
        <is>
          <t>17</t>
        </is>
      </c>
      <c r="E111" s="3" t="inlineStr">
        <is>
          <t>Itraconazole</t>
        </is>
      </c>
      <c r="F111" s="4" t="inlineStr">
        <is>
          <t>text_described</t>
        </is>
      </c>
      <c r="G111" s="3" t="inlineStr">
        <is>
          <t>fulltext</t>
        </is>
      </c>
      <c r="H111" s="4" t="inlineStr">
        <is>
          <t>yes</t>
        </is>
      </c>
      <c r="I111" s="4" t="inlineStr">
        <is>
          <t>medium</t>
        </is>
      </c>
      <c r="J111" s="4" t="inlineStr">
        <is>
          <t>pending</t>
        </is>
      </c>
      <c r="K111" s="3" t="inlineStr">
        <is>
          <t>Optimal PLGA-ITZ-NS (from Table 2, 10:1 ratio) after freeze-drying with 2% w/v HP-β-CD as lyoprotectant (Table 3).</t>
        </is>
      </c>
      <c r="L111">
        <f>IF(OR($F111="",$H111="",$I111="",$J111=""),"missing_required","")</f>
        <v/>
      </c>
      <c r="M111">
        <f>IF(COUNTIFS($A:$A,$A111,$D:$D,$D111)&gt;1,"duplicate_id","")</f>
        <v/>
      </c>
    </row>
    <row r="112">
      <c r="A112" t="inlineStr">
        <is>
          <t>QLYKLPKT</t>
        </is>
      </c>
      <c r="B112" t="inlineStr">
        <is>
          <t>10.2147/ijn.s54040</t>
        </is>
      </c>
      <c r="C112" s="2" t="inlineStr">
        <is>
          <t>Development of PLGA-based itraconazole injectable nanospheres for sustained release</t>
        </is>
      </c>
      <c r="D112" t="inlineStr">
        <is>
          <t>18</t>
        </is>
      </c>
      <c r="E112" s="3" t="inlineStr">
        <is>
          <t>Itraconazole</t>
        </is>
      </c>
      <c r="F112" s="4" t="inlineStr">
        <is>
          <t>text_described</t>
        </is>
      </c>
      <c r="G112" s="3" t="inlineStr">
        <is>
          <t>fulltext</t>
        </is>
      </c>
      <c r="H112" s="4" t="inlineStr">
        <is>
          <t>yes</t>
        </is>
      </c>
      <c r="I112" s="4" t="inlineStr">
        <is>
          <t>medium</t>
        </is>
      </c>
      <c r="J112" s="4" t="inlineStr">
        <is>
          <t>pending</t>
        </is>
      </c>
      <c r="K112" s="3" t="inlineStr">
        <is>
          <t>Optimal PLGA-ITZ-NS (from Table 2, 10:1 ratio) after freeze-drying with 5% w/v HP-β-CD as lyoprotectant (Table 3).</t>
        </is>
      </c>
      <c r="L112">
        <f>IF(OR($F112="",$H112="",$I112="",$J112=""),"missing_required","")</f>
        <v/>
      </c>
      <c r="M112">
        <f>IF(COUNTIFS($A:$A,$A112,$D:$D,$D112)&gt;1,"duplicate_id","")</f>
        <v/>
      </c>
    </row>
    <row r="113">
      <c r="A113" t="inlineStr">
        <is>
          <t>QLYKLPKT</t>
        </is>
      </c>
      <c r="B113" t="inlineStr">
        <is>
          <t>10.2147/ijn.s54040</t>
        </is>
      </c>
      <c r="C113" s="2" t="inlineStr">
        <is>
          <t>Development of PLGA-based itraconazole injectable nanospheres for sustained release</t>
        </is>
      </c>
      <c r="D113" t="inlineStr">
        <is>
          <t>19</t>
        </is>
      </c>
      <c r="E113" s="3" t="inlineStr">
        <is>
          <t>Itraconazole</t>
        </is>
      </c>
      <c r="F113" s="4" t="inlineStr">
        <is>
          <t>text_described</t>
        </is>
      </c>
      <c r="G113" s="3" t="inlineStr">
        <is>
          <t>fulltext</t>
        </is>
      </c>
      <c r="H113" s="4" t="inlineStr">
        <is>
          <t>yes</t>
        </is>
      </c>
      <c r="I113" s="4" t="inlineStr">
        <is>
          <t>medium</t>
        </is>
      </c>
      <c r="J113" s="4" t="inlineStr">
        <is>
          <t>pending</t>
        </is>
      </c>
      <c r="K113" s="3" t="inlineStr">
        <is>
          <t>Optimal PLGA-ITZ-NS (from Table 2, 10:1 ratio) after freeze-drying with 10% w/v HP-β-CD as lyoprotectant (Table 3).</t>
        </is>
      </c>
      <c r="L113">
        <f>IF(OR($F113="",$H113="",$I113="",$J113=""),"missing_required","")</f>
        <v/>
      </c>
      <c r="M113">
        <f>IF(COUNTIFS($A:$A,$A113,$D:$D,$D113)&gt;1,"duplicate_id","")</f>
        <v/>
      </c>
    </row>
    <row r="114">
      <c r="A114" t="inlineStr">
        <is>
          <t>QLYKLPKT</t>
        </is>
      </c>
      <c r="B114" t="inlineStr">
        <is>
          <t>10.2147/ijn.s54040</t>
        </is>
      </c>
      <c r="C114" s="2" t="inlineStr">
        <is>
          <t>Development of PLGA-based itraconazole injectable nanospheres for sustained release</t>
        </is>
      </c>
      <c r="D114" t="inlineStr">
        <is>
          <t>2</t>
        </is>
      </c>
      <c r="E114" s="3" t="inlineStr"/>
      <c r="F114" s="4" t="inlineStr">
        <is>
          <t>text_described</t>
        </is>
      </c>
      <c r="G114" s="3" t="inlineStr">
        <is>
          <t>fulltext</t>
        </is>
      </c>
      <c r="H114" s="4" t="inlineStr">
        <is>
          <t>yes</t>
        </is>
      </c>
      <c r="I114" s="4" t="inlineStr">
        <is>
          <t>medium</t>
        </is>
      </c>
      <c r="J114" s="4" t="inlineStr">
        <is>
          <t>pending</t>
        </is>
      </c>
      <c r="K114" s="3" t="inlineStr">
        <is>
          <t>Unloaded PLGA nanoparticles, prepared with optimal 3 mg/mL poloxamer 188 concentration (Table 1)</t>
        </is>
      </c>
      <c r="L114">
        <f>IF(OR($F114="",$H114="",$I114="",$J114=""),"missing_required","")</f>
        <v/>
      </c>
      <c r="M114">
        <f>IF(COUNTIFS($A:$A,$A114,$D:$D,$D114)&gt;1,"duplicate_id","")</f>
        <v/>
      </c>
    </row>
    <row r="115">
      <c r="A115" t="inlineStr">
        <is>
          <t>QLYKLPKT</t>
        </is>
      </c>
      <c r="B115" t="inlineStr">
        <is>
          <t>10.2147/ijn.s54040</t>
        </is>
      </c>
      <c r="C115" s="2" t="inlineStr">
        <is>
          <t>Development of PLGA-based itraconazole injectable nanospheres for sustained release</t>
        </is>
      </c>
      <c r="D115" t="inlineStr">
        <is>
          <t>3</t>
        </is>
      </c>
      <c r="E115" s="3" t="inlineStr"/>
      <c r="F115" s="4" t="inlineStr">
        <is>
          <t>text_described</t>
        </is>
      </c>
      <c r="G115" s="3" t="inlineStr">
        <is>
          <t>fulltext</t>
        </is>
      </c>
      <c r="H115" s="4" t="inlineStr">
        <is>
          <t>yes</t>
        </is>
      </c>
      <c r="I115" s="4" t="inlineStr">
        <is>
          <t>medium</t>
        </is>
      </c>
      <c r="J115" s="4" t="inlineStr">
        <is>
          <t>pending</t>
        </is>
      </c>
      <c r="K115" s="3" t="inlineStr">
        <is>
          <t>Unloaded PLGA nanoparticles, prepared with 4 mg/mL poloxamer 188 (Table 1)</t>
        </is>
      </c>
      <c r="L115">
        <f>IF(OR($F115="",$H115="",$I115="",$J115=""),"missing_required","")</f>
        <v/>
      </c>
      <c r="M115">
        <f>IF(COUNTIFS($A:$A,$A115,$D:$D,$D115)&gt;1,"duplicate_id","")</f>
        <v/>
      </c>
    </row>
    <row r="116">
      <c r="A116" t="inlineStr">
        <is>
          <t>QLYKLPKT</t>
        </is>
      </c>
      <c r="B116" t="inlineStr">
        <is>
          <t>10.2147/ijn.s54040</t>
        </is>
      </c>
      <c r="C116" s="2" t="inlineStr">
        <is>
          <t>Development of PLGA-based itraconazole injectable nanospheres for sustained release</t>
        </is>
      </c>
      <c r="D116" t="inlineStr">
        <is>
          <t>4</t>
        </is>
      </c>
      <c r="E116" s="3" t="inlineStr"/>
      <c r="F116" s="4" t="inlineStr">
        <is>
          <t>text_described</t>
        </is>
      </c>
      <c r="G116" s="3" t="inlineStr">
        <is>
          <t>fulltext</t>
        </is>
      </c>
      <c r="H116" s="4" t="inlineStr">
        <is>
          <t>yes</t>
        </is>
      </c>
      <c r="I116" s="4" t="inlineStr">
        <is>
          <t>medium</t>
        </is>
      </c>
      <c r="J116" s="4" t="inlineStr">
        <is>
          <t>pending</t>
        </is>
      </c>
      <c r="K116" s="3" t="inlineStr">
        <is>
          <t>Unloaded PLGA nanoparticles, prepared with 10 mg/mL poloxamer 188 (Table 1)</t>
        </is>
      </c>
      <c r="L116">
        <f>IF(OR($F116="",$H116="",$I116="",$J116=""),"missing_required","")</f>
        <v/>
      </c>
      <c r="M116">
        <f>IF(COUNTIFS($A:$A,$A116,$D:$D,$D116)&gt;1,"duplicate_id","")</f>
        <v/>
      </c>
    </row>
    <row r="117">
      <c r="A117" t="inlineStr">
        <is>
          <t>QLYKLPKT</t>
        </is>
      </c>
      <c r="B117" t="inlineStr">
        <is>
          <t>10.2147/ijn.s54040</t>
        </is>
      </c>
      <c r="C117" s="2" t="inlineStr">
        <is>
          <t>Development of PLGA-based itraconazole injectable nanospheres for sustained release</t>
        </is>
      </c>
      <c r="D117" t="inlineStr">
        <is>
          <t>5</t>
        </is>
      </c>
      <c r="E117" s="3" t="inlineStr">
        <is>
          <t>Itraconazole</t>
        </is>
      </c>
      <c r="F117" s="4" t="inlineStr">
        <is>
          <t>text_described</t>
        </is>
      </c>
      <c r="G117" s="3" t="inlineStr">
        <is>
          <t>fulltext</t>
        </is>
      </c>
      <c r="H117" s="4" t="inlineStr">
        <is>
          <t>yes</t>
        </is>
      </c>
      <c r="I117" s="4" t="inlineStr">
        <is>
          <t>medium</t>
        </is>
      </c>
      <c r="J117" s="4" t="inlineStr">
        <is>
          <t>pending</t>
        </is>
      </c>
      <c r="K117" s="3" t="inlineStr">
        <is>
          <t>Itraconazole-loaded PLGA nanospheres (PLGA-ITZ-NS) with PLGA:ITZ (w/w) ratio of 5:1 (Table 2)</t>
        </is>
      </c>
      <c r="L117">
        <f>IF(OR($F117="",$H117="",$I117="",$J117=""),"missing_required","")</f>
        <v/>
      </c>
      <c r="M117">
        <f>IF(COUNTIFS($A:$A,$A117,$D:$D,$D117)&gt;1,"duplicate_id","")</f>
        <v/>
      </c>
    </row>
    <row r="118">
      <c r="A118" t="inlineStr">
        <is>
          <t>QLYKLPKT</t>
        </is>
      </c>
      <c r="B118" t="inlineStr">
        <is>
          <t>10.2147/ijn.s54040</t>
        </is>
      </c>
      <c r="C118" s="2" t="inlineStr">
        <is>
          <t>Development of PLGA-based itraconazole injectable nanospheres for sustained release</t>
        </is>
      </c>
      <c r="D118" t="inlineStr">
        <is>
          <t>6</t>
        </is>
      </c>
      <c r="E118" s="3" t="inlineStr">
        <is>
          <t>Itraconazole</t>
        </is>
      </c>
      <c r="F118" s="4" t="inlineStr">
        <is>
          <t>text_described</t>
        </is>
      </c>
      <c r="G118" s="3" t="inlineStr">
        <is>
          <t>fulltext</t>
        </is>
      </c>
      <c r="H118" s="4" t="inlineStr">
        <is>
          <t>yes</t>
        </is>
      </c>
      <c r="I118" s="4" t="inlineStr">
        <is>
          <t>medium</t>
        </is>
      </c>
      <c r="J118" s="4" t="inlineStr">
        <is>
          <t>pending</t>
        </is>
      </c>
      <c r="K118" s="3" t="inlineStr">
        <is>
          <t>Optimal PLGA-ITZ-NS with PLGA:ITZ (w/w) ratio of 10:1 (Table 2)</t>
        </is>
      </c>
      <c r="L118">
        <f>IF(OR($F118="",$H118="",$I118="",$J118=""),"missing_required","")</f>
        <v/>
      </c>
      <c r="M118">
        <f>IF(COUNTIFS($A:$A,$A118,$D:$D,$D118)&gt;1,"duplicate_id","")</f>
        <v/>
      </c>
    </row>
    <row r="119">
      <c r="A119" t="inlineStr">
        <is>
          <t>QLYKLPKT</t>
        </is>
      </c>
      <c r="B119" t="inlineStr">
        <is>
          <t>10.2147/ijn.s54040</t>
        </is>
      </c>
      <c r="C119" s="2" t="inlineStr">
        <is>
          <t>Development of PLGA-based itraconazole injectable nanospheres for sustained release</t>
        </is>
      </c>
      <c r="D119" t="inlineStr">
        <is>
          <t>7</t>
        </is>
      </c>
      <c r="E119" s="3" t="inlineStr">
        <is>
          <t>Itraconazole</t>
        </is>
      </c>
      <c r="F119" s="4" t="inlineStr">
        <is>
          <t>text_described</t>
        </is>
      </c>
      <c r="G119" s="3" t="inlineStr">
        <is>
          <t>fulltext</t>
        </is>
      </c>
      <c r="H119" s="4" t="inlineStr">
        <is>
          <t>yes</t>
        </is>
      </c>
      <c r="I119" s="4" t="inlineStr">
        <is>
          <t>medium</t>
        </is>
      </c>
      <c r="J119" s="4" t="inlineStr">
        <is>
          <t>pending</t>
        </is>
      </c>
      <c r="K119" s="3" t="inlineStr">
        <is>
          <t>PLGA-ITZ-NS with PLGA:ITZ (w/w) ratio of 15:1 (Table 2)</t>
        </is>
      </c>
      <c r="L119">
        <f>IF(OR($F119="",$H119="",$I119="",$J119=""),"missing_required","")</f>
        <v/>
      </c>
      <c r="M119">
        <f>IF(COUNTIFS($A:$A,$A119,$D:$D,$D119)&gt;1,"duplicate_id","")</f>
        <v/>
      </c>
    </row>
    <row r="120">
      <c r="A120" t="inlineStr">
        <is>
          <t>QLYKLPKT</t>
        </is>
      </c>
      <c r="B120" t="inlineStr">
        <is>
          <t>10.2147/ijn.s54040</t>
        </is>
      </c>
      <c r="C120" s="2" t="inlineStr">
        <is>
          <t>Development of PLGA-based itraconazole injectable nanospheres for sustained release</t>
        </is>
      </c>
      <c r="D120" t="inlineStr">
        <is>
          <t>8</t>
        </is>
      </c>
      <c r="E120" s="3" t="inlineStr">
        <is>
          <t>Itraconazole</t>
        </is>
      </c>
      <c r="F120" s="4" t="inlineStr">
        <is>
          <t>text_described</t>
        </is>
      </c>
      <c r="G120" s="3" t="inlineStr">
        <is>
          <t>fulltext</t>
        </is>
      </c>
      <c r="H120" s="4" t="inlineStr">
        <is>
          <t>yes</t>
        </is>
      </c>
      <c r="I120" s="4" t="inlineStr">
        <is>
          <t>medium</t>
        </is>
      </c>
      <c r="J120" s="4" t="inlineStr">
        <is>
          <t>pending</t>
        </is>
      </c>
      <c r="K120" s="3" t="inlineStr">
        <is>
          <t>Optimal PLGA-ITZ-NS (from Table 2, 10:1 ratio) after freeze-drying with 2% w/v sucrose as lyoprotectant (Table 3). This was selected as the optimal lyophilized formulation.</t>
        </is>
      </c>
      <c r="L120">
        <f>IF(OR($F120="",$H120="",$I120="",$J120=""),"missing_required","")</f>
        <v/>
      </c>
      <c r="M120">
        <f>IF(COUNTIFS($A:$A,$A120,$D:$D,$D120)&gt;1,"duplicate_id","")</f>
        <v/>
      </c>
    </row>
    <row r="121">
      <c r="A121" t="inlineStr">
        <is>
          <t>QLYKLPKT</t>
        </is>
      </c>
      <c r="B121" t="inlineStr">
        <is>
          <t>10.2147/ijn.s54040</t>
        </is>
      </c>
      <c r="C121" s="2" t="inlineStr">
        <is>
          <t>Development of PLGA-based itraconazole injectable nanospheres for sustained release</t>
        </is>
      </c>
      <c r="D121" t="inlineStr">
        <is>
          <t>9</t>
        </is>
      </c>
      <c r="E121" s="3" t="inlineStr">
        <is>
          <t>Itraconazole</t>
        </is>
      </c>
      <c r="F121" s="4" t="inlineStr">
        <is>
          <t>text_described</t>
        </is>
      </c>
      <c r="G121" s="3" t="inlineStr">
        <is>
          <t>fulltext</t>
        </is>
      </c>
      <c r="H121" s="4" t="inlineStr">
        <is>
          <t>yes</t>
        </is>
      </c>
      <c r="I121" s="4" t="inlineStr">
        <is>
          <t>medium</t>
        </is>
      </c>
      <c r="J121" s="4" t="inlineStr">
        <is>
          <t>pending</t>
        </is>
      </c>
      <c r="K121" s="3" t="inlineStr">
        <is>
          <t>Optimal PLGA-ITZ-NS (from Table 2, 10:1 ratio) after freeze-drying with 5% w/v sucrose as lyoprotectant (Table 3).</t>
        </is>
      </c>
      <c r="L121">
        <f>IF(OR($F121="",$H121="",$I121="",$J121=""),"missing_required","")</f>
        <v/>
      </c>
      <c r="M121">
        <f>IF(COUNTIFS($A:$A,$A121,$D:$D,$D121)&gt;1,"duplicate_id","")</f>
        <v/>
      </c>
    </row>
    <row r="122">
      <c r="A122" t="inlineStr">
        <is>
          <t>QLYKLPKT</t>
        </is>
      </c>
      <c r="B122" t="inlineStr">
        <is>
          <t>10.2147/ijn.s54040</t>
        </is>
      </c>
      <c r="C122" s="2" t="inlineStr">
        <is>
          <t>Development of PLGA-based itraconazole injectable nanospheres for sustained release</t>
        </is>
      </c>
      <c r="D122" t="inlineStr">
        <is>
          <t>QLYKLPKT_F20</t>
        </is>
      </c>
      <c r="E122" s="3" t="inlineStr">
        <is>
          <t>itraconazole</t>
        </is>
      </c>
      <c r="F122" s="4" t="inlineStr">
        <is>
          <t>text_described</t>
        </is>
      </c>
      <c r="G122" s="3" t="inlineStr">
        <is>
          <t>fulltext</t>
        </is>
      </c>
      <c r="H122" s="4" t="inlineStr">
        <is>
          <t>yes</t>
        </is>
      </c>
      <c r="I122" s="4" t="inlineStr">
        <is>
          <t>medium</t>
        </is>
      </c>
      <c r="J122" s="4" t="inlineStr">
        <is>
          <t>pending</t>
        </is>
      </c>
      <c r="K122" s="3" t="inlineStr"/>
      <c r="L122">
        <f>IF(OR($F122="",$H122="",$I122="",$J122=""),"missing_required","")</f>
        <v/>
      </c>
      <c r="M122">
        <f>IF(COUNTIFS($A:$A,$A122,$D:$D,$D122)&gt;1,"duplicate_id","")</f>
        <v/>
      </c>
    </row>
    <row r="123">
      <c r="A123" t="inlineStr">
        <is>
          <t>QLYKLPKT</t>
        </is>
      </c>
      <c r="B123" t="inlineStr">
        <is>
          <t>10.2147/ijn.s54040</t>
        </is>
      </c>
      <c r="C123" s="2" t="inlineStr">
        <is>
          <t>Development of PLGA-based itraconazole injectable nanospheres for sustained release</t>
        </is>
      </c>
      <c r="D123" t="inlineStr">
        <is>
          <t>QLYKLPKT_F21</t>
        </is>
      </c>
      <c r="E123" s="3" t="inlineStr">
        <is>
          <t>itraconazole</t>
        </is>
      </c>
      <c r="F123" s="4" t="inlineStr">
        <is>
          <t>text_described</t>
        </is>
      </c>
      <c r="G123" s="3" t="inlineStr">
        <is>
          <t>fulltext</t>
        </is>
      </c>
      <c r="H123" s="4" t="inlineStr">
        <is>
          <t>yes</t>
        </is>
      </c>
      <c r="I123" s="4" t="inlineStr">
        <is>
          <t>medium</t>
        </is>
      </c>
      <c r="J123" s="4" t="inlineStr">
        <is>
          <t>pending</t>
        </is>
      </c>
      <c r="K123" s="3" t="inlineStr">
        <is>
          <t>3 mg/mL was selected as optimal surfactant concentration to prepare PLGA-ITZ-NS for the remaining studies.</t>
        </is>
      </c>
      <c r="L123">
        <f>IF(OR($F123="",$H123="",$I123="",$J123=""),"missing_required","")</f>
        <v/>
      </c>
      <c r="M123">
        <f>IF(COUNTIFS($A:$A,$A123,$D:$D,$D123)&gt;1,"duplicate_id","")</f>
        <v/>
      </c>
    </row>
    <row r="124">
      <c r="A124" t="inlineStr">
        <is>
          <t>QLYKLPKT</t>
        </is>
      </c>
      <c r="B124" t="inlineStr">
        <is>
          <t>10.2147/ijn.s54040</t>
        </is>
      </c>
      <c r="C124" s="2" t="inlineStr">
        <is>
          <t>Development of PLGA-based itraconazole injectable nanospheres for sustained release</t>
        </is>
      </c>
      <c r="D124" t="inlineStr">
        <is>
          <t>QLYKLPKT_F22</t>
        </is>
      </c>
      <c r="E124" s="3" t="inlineStr">
        <is>
          <t>itraconazole</t>
        </is>
      </c>
      <c r="F124" s="4" t="inlineStr">
        <is>
          <t>text_described</t>
        </is>
      </c>
      <c r="G124" s="3" t="inlineStr">
        <is>
          <t>fulltext</t>
        </is>
      </c>
      <c r="H124" s="4" t="inlineStr">
        <is>
          <t>yes</t>
        </is>
      </c>
      <c r="I124" s="4" t="inlineStr">
        <is>
          <t>medium</t>
        </is>
      </c>
      <c r="J124" s="4" t="inlineStr">
        <is>
          <t>pending</t>
        </is>
      </c>
      <c r="K124" s="3" t="inlineStr"/>
      <c r="L124">
        <f>IF(OR($F124="",$H124="",$I124="",$J124=""),"missing_required","")</f>
        <v/>
      </c>
      <c r="M124">
        <f>IF(COUNTIFS($A:$A,$A124,$D:$D,$D124)&gt;1,"duplicate_id","")</f>
        <v/>
      </c>
    </row>
    <row r="125">
      <c r="A125" t="inlineStr">
        <is>
          <t>QLYKLPKT</t>
        </is>
      </c>
      <c r="B125" t="inlineStr">
        <is>
          <t>10.2147/ijn.s54040</t>
        </is>
      </c>
      <c r="C125" s="2" t="inlineStr">
        <is>
          <t>Development of PLGA-based itraconazole injectable nanospheres for sustained release</t>
        </is>
      </c>
      <c r="D125" t="inlineStr">
        <is>
          <t>QLYKLPKT_F23</t>
        </is>
      </c>
      <c r="E125" s="3" t="inlineStr">
        <is>
          <t>itraconazole</t>
        </is>
      </c>
      <c r="F125" s="4" t="inlineStr">
        <is>
          <t>text_described</t>
        </is>
      </c>
      <c r="G125" s="3" t="inlineStr">
        <is>
          <t>fulltext</t>
        </is>
      </c>
      <c r="H125" s="4" t="inlineStr">
        <is>
          <t>yes</t>
        </is>
      </c>
      <c r="I125" s="4" t="inlineStr">
        <is>
          <t>medium</t>
        </is>
      </c>
      <c r="J125" s="4" t="inlineStr">
        <is>
          <t>pending</t>
        </is>
      </c>
      <c r="K125" s="3" t="inlineStr"/>
      <c r="L125">
        <f>IF(OR($F125="",$H125="",$I125="",$J125=""),"missing_required","")</f>
        <v/>
      </c>
      <c r="M125">
        <f>IF(COUNTIFS($A:$A,$A125,$D:$D,$D125)&gt;1,"duplicate_id","")</f>
        <v/>
      </c>
    </row>
    <row r="126">
      <c r="A126" t="inlineStr">
        <is>
          <t>QLYKLPKT</t>
        </is>
      </c>
      <c r="B126" t="inlineStr">
        <is>
          <t>10.2147/ijn.s54040</t>
        </is>
      </c>
      <c r="C126" s="2" t="inlineStr">
        <is>
          <t>Development of PLGA-based itraconazole injectable nanospheres for sustained release</t>
        </is>
      </c>
      <c r="D126" t="inlineStr">
        <is>
          <t>QLYKLPKT_F24</t>
        </is>
      </c>
      <c r="E126" s="3" t="inlineStr">
        <is>
          <t>itraconazole</t>
        </is>
      </c>
      <c r="F126" s="4" t="inlineStr">
        <is>
          <t>text_described</t>
        </is>
      </c>
      <c r="G126" s="3" t="inlineStr">
        <is>
          <t>fulltext</t>
        </is>
      </c>
      <c r="H126" s="4" t="inlineStr">
        <is>
          <t>yes</t>
        </is>
      </c>
      <c r="I126" s="4" t="inlineStr">
        <is>
          <t>medium</t>
        </is>
      </c>
      <c r="J126" s="4" t="inlineStr">
        <is>
          <t>pending</t>
        </is>
      </c>
      <c r="K126" s="3" t="inlineStr"/>
      <c r="L126">
        <f>IF(OR($F126="",$H126="",$I126="",$J126=""),"missing_required","")</f>
        <v/>
      </c>
      <c r="M126">
        <f>IF(COUNTIFS($A:$A,$A126,$D:$D,$D126)&gt;1,"duplicate_id","")</f>
        <v/>
      </c>
    </row>
    <row r="127">
      <c r="A127" t="inlineStr">
        <is>
          <t>QLYKLPKT</t>
        </is>
      </c>
      <c r="B127" t="inlineStr">
        <is>
          <t>10.2147/ijn.s54040</t>
        </is>
      </c>
      <c r="C127" s="2" t="inlineStr">
        <is>
          <t>Development of PLGA-based itraconazole injectable nanospheres for sustained release</t>
        </is>
      </c>
      <c r="D127" t="inlineStr">
        <is>
          <t>QLYKLPKT_F25</t>
        </is>
      </c>
      <c r="E127" s="3" t="inlineStr">
        <is>
          <t>itraconazole</t>
        </is>
      </c>
      <c r="F127" s="4" t="inlineStr">
        <is>
          <t>text_described</t>
        </is>
      </c>
      <c r="G127" s="3" t="inlineStr">
        <is>
          <t>fulltext</t>
        </is>
      </c>
      <c r="H127" s="4" t="inlineStr">
        <is>
          <t>yes</t>
        </is>
      </c>
      <c r="I127" s="4" t="inlineStr">
        <is>
          <t>medium</t>
        </is>
      </c>
      <c r="J127" s="4" t="inlineStr">
        <is>
          <t>pending</t>
        </is>
      </c>
      <c r="K127" s="3" t="inlineStr">
        <is>
          <t>Ratio of 10:1 was then selected to prepare PLGA-ITZ-NS for the remaining studies.</t>
        </is>
      </c>
      <c r="L127">
        <f>IF(OR($F127="",$H127="",$I127="",$J127=""),"missing_required","")</f>
        <v/>
      </c>
      <c r="M127">
        <f>IF(COUNTIFS($A:$A,$A127,$D:$D,$D127)&gt;1,"duplicate_id","")</f>
        <v/>
      </c>
    </row>
    <row r="128">
      <c r="A128" t="inlineStr">
        <is>
          <t>QLYKLPKT</t>
        </is>
      </c>
      <c r="B128" t="inlineStr">
        <is>
          <t>10.2147/ijn.s54040</t>
        </is>
      </c>
      <c r="C128" s="2" t="inlineStr">
        <is>
          <t>Development of PLGA-based itraconazole injectable nanospheres for sustained release</t>
        </is>
      </c>
      <c r="D128" t="inlineStr">
        <is>
          <t>QLYKLPKT_F26</t>
        </is>
      </c>
      <c r="E128" s="3" t="inlineStr">
        <is>
          <t>itraconazole</t>
        </is>
      </c>
      <c r="F128" s="4" t="inlineStr">
        <is>
          <t>text_described</t>
        </is>
      </c>
      <c r="G128" s="3" t="inlineStr">
        <is>
          <t>fulltext</t>
        </is>
      </c>
      <c r="H128" s="4" t="inlineStr">
        <is>
          <t>yes</t>
        </is>
      </c>
      <c r="I128" s="4" t="inlineStr">
        <is>
          <t>medium</t>
        </is>
      </c>
      <c r="J128" s="4" t="inlineStr">
        <is>
          <t>pending</t>
        </is>
      </c>
      <c r="K128" s="3" t="inlineStr"/>
      <c r="L128">
        <f>IF(OR($F128="",$H128="",$I128="",$J128=""),"missing_required","")</f>
        <v/>
      </c>
      <c r="M128">
        <f>IF(COUNTIFS($A:$A,$A128,$D:$D,$D128)&gt;1,"duplicate_id","")</f>
        <v/>
      </c>
    </row>
    <row r="129">
      <c r="A129" t="inlineStr">
        <is>
          <t>QLYKLPKT</t>
        </is>
      </c>
      <c r="B129" t="inlineStr">
        <is>
          <t>10.2147/ijn.s54040</t>
        </is>
      </c>
      <c r="C129" s="2" t="inlineStr">
        <is>
          <t>Development of PLGA-based itraconazole injectable nanospheres for sustained release</t>
        </is>
      </c>
      <c r="D129" t="inlineStr">
        <is>
          <t>QLYKLPKT_F27</t>
        </is>
      </c>
      <c r="E129" s="3" t="inlineStr">
        <is>
          <t>itraconazole</t>
        </is>
      </c>
      <c r="F129" s="4" t="inlineStr">
        <is>
          <t>text_described</t>
        </is>
      </c>
      <c r="G129" s="3" t="inlineStr">
        <is>
          <t>fulltext</t>
        </is>
      </c>
      <c r="H129" s="4" t="inlineStr">
        <is>
          <t>yes</t>
        </is>
      </c>
      <c r="I129" s="4" t="inlineStr">
        <is>
          <t>medium</t>
        </is>
      </c>
      <c r="J129" s="4" t="inlineStr">
        <is>
          <t>pending</t>
        </is>
      </c>
      <c r="K129" s="3" t="inlineStr">
        <is>
          <t>2% sucrose was then selected as optimal lyoprotectant and concentration for NS freeze-drying.</t>
        </is>
      </c>
      <c r="L129">
        <f>IF(OR($F129="",$H129="",$I129="",$J129=""),"missing_required","")</f>
        <v/>
      </c>
      <c r="M129">
        <f>IF(COUNTIFS($A:$A,$A129,$D:$D,$D129)&gt;1,"duplicate_id","")</f>
        <v/>
      </c>
    </row>
    <row r="130">
      <c r="A130" t="inlineStr">
        <is>
          <t>QLYKLPKT</t>
        </is>
      </c>
      <c r="B130" t="inlineStr">
        <is>
          <t>10.2147/ijn.s54040</t>
        </is>
      </c>
      <c r="C130" s="2" t="inlineStr">
        <is>
          <t>Development of PLGA-based itraconazole injectable nanospheres for sustained release</t>
        </is>
      </c>
      <c r="D130" t="inlineStr">
        <is>
          <t>QLYKLPKT_F28</t>
        </is>
      </c>
      <c r="E130" s="3" t="inlineStr">
        <is>
          <t>itraconazole</t>
        </is>
      </c>
      <c r="F130" s="4" t="inlineStr">
        <is>
          <t>text_described</t>
        </is>
      </c>
      <c r="G130" s="3" t="inlineStr">
        <is>
          <t>fulltext</t>
        </is>
      </c>
      <c r="H130" s="4" t="inlineStr">
        <is>
          <t>yes</t>
        </is>
      </c>
      <c r="I130" s="4" t="inlineStr">
        <is>
          <t>medium</t>
        </is>
      </c>
      <c r="J130" s="4" t="inlineStr">
        <is>
          <t>pending</t>
        </is>
      </c>
      <c r="K130" s="3" t="inlineStr"/>
      <c r="L130">
        <f>IF(OR($F130="",$H130="",$I130="",$J130=""),"missing_required","")</f>
        <v/>
      </c>
      <c r="M130">
        <f>IF(COUNTIFS($A:$A,$A130,$D:$D,$D130)&gt;1,"duplicate_id","")</f>
        <v/>
      </c>
    </row>
    <row r="131">
      <c r="A131" t="inlineStr">
        <is>
          <t>QLYKLPKT</t>
        </is>
      </c>
      <c r="B131" t="inlineStr">
        <is>
          <t>10.2147/ijn.s54040</t>
        </is>
      </c>
      <c r="C131" s="2" t="inlineStr">
        <is>
          <t>Development of PLGA-based itraconazole injectable nanospheres for sustained release</t>
        </is>
      </c>
      <c r="D131" t="inlineStr">
        <is>
          <t>QLYKLPKT_F29</t>
        </is>
      </c>
      <c r="E131" s="3" t="inlineStr">
        <is>
          <t>itraconazole</t>
        </is>
      </c>
      <c r="F131" s="4" t="inlineStr">
        <is>
          <t>text_described</t>
        </is>
      </c>
      <c r="G131" s="3" t="inlineStr">
        <is>
          <t>fulltext</t>
        </is>
      </c>
      <c r="H131" s="4" t="inlineStr">
        <is>
          <t>yes</t>
        </is>
      </c>
      <c r="I131" s="4" t="inlineStr">
        <is>
          <t>medium</t>
        </is>
      </c>
      <c r="J131" s="4" t="inlineStr">
        <is>
          <t>pending</t>
        </is>
      </c>
      <c r="K131" s="3" t="inlineStr"/>
      <c r="L131">
        <f>IF(OR($F131="",$H131="",$I131="",$J131=""),"missing_required","")</f>
        <v/>
      </c>
      <c r="M131">
        <f>IF(COUNTIFS($A:$A,$A131,$D:$D,$D131)&gt;1,"duplicate_id","")</f>
        <v/>
      </c>
    </row>
    <row r="132">
      <c r="A132" t="inlineStr">
        <is>
          <t>QLYKLPKT</t>
        </is>
      </c>
      <c r="B132" t="inlineStr">
        <is>
          <t>10.2147/ijn.s54040</t>
        </is>
      </c>
      <c r="C132" s="2" t="inlineStr">
        <is>
          <t>Development of PLGA-based itraconazole injectable nanospheres for sustained release</t>
        </is>
      </c>
      <c r="D132" t="inlineStr">
        <is>
          <t>QLYKLPKT_F30</t>
        </is>
      </c>
      <c r="E132" s="3" t="inlineStr">
        <is>
          <t>itraconazole</t>
        </is>
      </c>
      <c r="F132" s="4" t="inlineStr">
        <is>
          <t>text_described</t>
        </is>
      </c>
      <c r="G132" s="3" t="inlineStr">
        <is>
          <t>fulltext</t>
        </is>
      </c>
      <c r="H132" s="4" t="inlineStr">
        <is>
          <t>yes</t>
        </is>
      </c>
      <c r="I132" s="4" t="inlineStr">
        <is>
          <t>medium</t>
        </is>
      </c>
      <c r="J132" s="4" t="inlineStr">
        <is>
          <t>pending</t>
        </is>
      </c>
      <c r="K132" s="3" t="inlineStr"/>
      <c r="L132">
        <f>IF(OR($F132="",$H132="",$I132="",$J132=""),"missing_required","")</f>
        <v/>
      </c>
      <c r="M132">
        <f>IF(COUNTIFS($A:$A,$A132,$D:$D,$D132)&gt;1,"duplicate_id","")</f>
        <v/>
      </c>
    </row>
    <row r="133">
      <c r="A133" t="inlineStr">
        <is>
          <t>QLYKLPKT</t>
        </is>
      </c>
      <c r="B133" t="inlineStr">
        <is>
          <t>10.2147/ijn.s54040</t>
        </is>
      </c>
      <c r="C133" s="2" t="inlineStr">
        <is>
          <t>Development of PLGA-based itraconazole injectable nanospheres for sustained release</t>
        </is>
      </c>
      <c r="D133" t="inlineStr">
        <is>
          <t>QLYKLPKT_F31</t>
        </is>
      </c>
      <c r="E133" s="3" t="inlineStr">
        <is>
          <t>itraconazole</t>
        </is>
      </c>
      <c r="F133" s="4" t="inlineStr">
        <is>
          <t>text_described</t>
        </is>
      </c>
      <c r="G133" s="3" t="inlineStr">
        <is>
          <t>fulltext</t>
        </is>
      </c>
      <c r="H133" s="4" t="inlineStr">
        <is>
          <t>yes</t>
        </is>
      </c>
      <c r="I133" s="4" t="inlineStr">
        <is>
          <t>medium</t>
        </is>
      </c>
      <c r="J133" s="4" t="inlineStr">
        <is>
          <t>pending</t>
        </is>
      </c>
      <c r="K133" s="3" t="inlineStr"/>
      <c r="L133">
        <f>IF(OR($F133="",$H133="",$I133="",$J133=""),"missing_required","")</f>
        <v/>
      </c>
      <c r="M133">
        <f>IF(COUNTIFS($A:$A,$A133,$D:$D,$D133)&gt;1,"duplicate_id","")</f>
        <v/>
      </c>
    </row>
    <row r="134">
      <c r="A134" t="inlineStr">
        <is>
          <t>QLYKLPKT</t>
        </is>
      </c>
      <c r="B134" t="inlineStr">
        <is>
          <t>10.2147/ijn.s54040</t>
        </is>
      </c>
      <c r="C134" s="2" t="inlineStr">
        <is>
          <t>Development of PLGA-based itraconazole injectable nanospheres for sustained release</t>
        </is>
      </c>
      <c r="D134" t="inlineStr">
        <is>
          <t>QLYKLPKT_F32</t>
        </is>
      </c>
      <c r="E134" s="3" t="inlineStr">
        <is>
          <t>itraconazole</t>
        </is>
      </c>
      <c r="F134" s="4" t="inlineStr">
        <is>
          <t>text_described</t>
        </is>
      </c>
      <c r="G134" s="3" t="inlineStr">
        <is>
          <t>fulltext</t>
        </is>
      </c>
      <c r="H134" s="4" t="inlineStr">
        <is>
          <t>yes</t>
        </is>
      </c>
      <c r="I134" s="4" t="inlineStr">
        <is>
          <t>medium</t>
        </is>
      </c>
      <c r="J134" s="4" t="inlineStr">
        <is>
          <t>pending</t>
        </is>
      </c>
      <c r="K134" s="3" t="inlineStr"/>
      <c r="L134">
        <f>IF(OR($F134="",$H134="",$I134="",$J134=""),"missing_required","")</f>
        <v/>
      </c>
      <c r="M134">
        <f>IF(COUNTIFS($A:$A,$A134,$D:$D,$D134)&gt;1,"duplicate_id","")</f>
        <v/>
      </c>
    </row>
    <row r="135">
      <c r="A135" t="inlineStr">
        <is>
          <t>QLYKLPKT</t>
        </is>
      </c>
      <c r="B135" t="inlineStr">
        <is>
          <t>10.2147/ijn.s54040</t>
        </is>
      </c>
      <c r="C135" s="2" t="inlineStr">
        <is>
          <t>Development of PLGA-based itraconazole injectable nanospheres for sustained release</t>
        </is>
      </c>
      <c r="D135" t="inlineStr">
        <is>
          <t>QLYKLPKT_F33</t>
        </is>
      </c>
      <c r="E135" s="3" t="inlineStr">
        <is>
          <t>itraconazole</t>
        </is>
      </c>
      <c r="F135" s="4" t="inlineStr">
        <is>
          <t>text_described</t>
        </is>
      </c>
      <c r="G135" s="3" t="inlineStr">
        <is>
          <t>fulltext</t>
        </is>
      </c>
      <c r="H135" s="4" t="inlineStr">
        <is>
          <t>yes</t>
        </is>
      </c>
      <c r="I135" s="4" t="inlineStr">
        <is>
          <t>medium</t>
        </is>
      </c>
      <c r="J135" s="4" t="inlineStr">
        <is>
          <t>pending</t>
        </is>
      </c>
      <c r="K135" s="3" t="inlineStr"/>
      <c r="L135">
        <f>IF(OR($F135="",$H135="",$I135="",$J135=""),"missing_required","")</f>
        <v/>
      </c>
      <c r="M135">
        <f>IF(COUNTIFS($A:$A,$A135,$D:$D,$D135)&gt;1,"duplicate_id","")</f>
        <v/>
      </c>
    </row>
    <row r="136">
      <c r="A136" t="inlineStr">
        <is>
          <t>QLYKLPKT</t>
        </is>
      </c>
      <c r="B136" t="inlineStr">
        <is>
          <t>10.2147/ijn.s54040</t>
        </is>
      </c>
      <c r="C136" s="2" t="inlineStr">
        <is>
          <t>Development of PLGA-based itraconazole injectable nanospheres for sustained release</t>
        </is>
      </c>
      <c r="D136" t="inlineStr">
        <is>
          <t>QLYKLPKT_F34</t>
        </is>
      </c>
      <c r="E136" s="3" t="inlineStr">
        <is>
          <t>itraconazole</t>
        </is>
      </c>
      <c r="F136" s="4" t="inlineStr">
        <is>
          <t>text_described</t>
        </is>
      </c>
      <c r="G136" s="3" t="inlineStr">
        <is>
          <t>fulltext</t>
        </is>
      </c>
      <c r="H136" s="4" t="inlineStr">
        <is>
          <t>yes</t>
        </is>
      </c>
      <c r="I136" s="4" t="inlineStr">
        <is>
          <t>medium</t>
        </is>
      </c>
      <c r="J136" s="4" t="inlineStr">
        <is>
          <t>pending</t>
        </is>
      </c>
      <c r="K136" s="3" t="inlineStr"/>
      <c r="L136">
        <f>IF(OR($F136="",$H136="",$I136="",$J136=""),"missing_required","")</f>
        <v/>
      </c>
      <c r="M136">
        <f>IF(COUNTIFS($A:$A,$A136,$D:$D,$D136)&gt;1,"duplicate_id","")</f>
        <v/>
      </c>
    </row>
    <row r="137">
      <c r="A137" t="inlineStr">
        <is>
          <t>QLYKLPKT</t>
        </is>
      </c>
      <c r="B137" t="inlineStr">
        <is>
          <t>10.2147/ijn.s54040</t>
        </is>
      </c>
      <c r="C137" s="2" t="inlineStr">
        <is>
          <t>Development of PLGA-based itraconazole injectable nanospheres for sustained release</t>
        </is>
      </c>
      <c r="D137" t="inlineStr">
        <is>
          <t>QLYKLPKT_F35</t>
        </is>
      </c>
      <c r="E137" s="3" t="inlineStr">
        <is>
          <t>itraconazole</t>
        </is>
      </c>
      <c r="F137" s="4" t="inlineStr">
        <is>
          <t>text_described</t>
        </is>
      </c>
      <c r="G137" s="3" t="inlineStr">
        <is>
          <t>fulltext</t>
        </is>
      </c>
      <c r="H137" s="4" t="inlineStr">
        <is>
          <t>yes</t>
        </is>
      </c>
      <c r="I137" s="4" t="inlineStr">
        <is>
          <t>medium</t>
        </is>
      </c>
      <c r="J137" s="4" t="inlineStr">
        <is>
          <t>pending</t>
        </is>
      </c>
      <c r="K137" s="3" t="inlineStr"/>
      <c r="L137">
        <f>IF(OR($F137="",$H137="",$I137="",$J137=""),"missing_required","")</f>
        <v/>
      </c>
      <c r="M137">
        <f>IF(COUNTIFS($A:$A,$A137,$D:$D,$D137)&gt;1,"duplicate_id","")</f>
        <v/>
      </c>
    </row>
    <row r="138">
      <c r="A138" t="inlineStr">
        <is>
          <t>QLYKLPKT</t>
        </is>
      </c>
      <c r="B138" t="inlineStr">
        <is>
          <t>10.2147/ijn.s54040</t>
        </is>
      </c>
      <c r="C138" s="2" t="inlineStr">
        <is>
          <t>Development of PLGA-based itraconazole injectable nanospheres for sustained release</t>
        </is>
      </c>
      <c r="D138" t="inlineStr">
        <is>
          <t>QLYKLPKT_F36</t>
        </is>
      </c>
      <c r="E138" s="3" t="inlineStr">
        <is>
          <t>itraconazole</t>
        </is>
      </c>
      <c r="F138" s="4" t="inlineStr">
        <is>
          <t>text_described</t>
        </is>
      </c>
      <c r="G138" s="3" t="inlineStr">
        <is>
          <t>fulltext</t>
        </is>
      </c>
      <c r="H138" s="4" t="inlineStr">
        <is>
          <t>yes</t>
        </is>
      </c>
      <c r="I138" s="4" t="inlineStr">
        <is>
          <t>medium</t>
        </is>
      </c>
      <c r="J138" s="4" t="inlineStr">
        <is>
          <t>pending</t>
        </is>
      </c>
      <c r="K138" s="3" t="inlineStr"/>
      <c r="L138">
        <f>IF(OR($F138="",$H138="",$I138="",$J138=""),"missing_required","")</f>
        <v/>
      </c>
      <c r="M138">
        <f>IF(COUNTIFS($A:$A,$A138,$D:$D,$D138)&gt;1,"duplicate_id","")</f>
        <v/>
      </c>
    </row>
    <row r="139">
      <c r="A139" t="inlineStr">
        <is>
          <t>QLYKLPKT</t>
        </is>
      </c>
      <c r="B139" t="inlineStr">
        <is>
          <t>10.2147/ijn.s54040</t>
        </is>
      </c>
      <c r="C139" s="2" t="inlineStr">
        <is>
          <t>Development of PLGA-based itraconazole injectable nanospheres for sustained release</t>
        </is>
      </c>
      <c r="D139" t="inlineStr">
        <is>
          <t>QLYKLPKT_F37</t>
        </is>
      </c>
      <c r="E139" s="3" t="inlineStr">
        <is>
          <t>itraconazole</t>
        </is>
      </c>
      <c r="F139" s="4" t="inlineStr">
        <is>
          <t>text_described</t>
        </is>
      </c>
      <c r="G139" s="3" t="inlineStr">
        <is>
          <t>fulltext</t>
        </is>
      </c>
      <c r="H139" s="4" t="inlineStr">
        <is>
          <t>yes</t>
        </is>
      </c>
      <c r="I139" s="4" t="inlineStr">
        <is>
          <t>medium</t>
        </is>
      </c>
      <c r="J139" s="4" t="inlineStr">
        <is>
          <t>pending</t>
        </is>
      </c>
      <c r="K139" s="3" t="inlineStr"/>
      <c r="L139">
        <f>IF(OR($F139="",$H139="",$I139="",$J139=""),"missing_required","")</f>
        <v/>
      </c>
      <c r="M139">
        <f>IF(COUNTIFS($A:$A,$A139,$D:$D,$D139)&gt;1,"duplicate_id","")</f>
        <v/>
      </c>
    </row>
    <row r="140">
      <c r="A140" t="inlineStr">
        <is>
          <t>QLYKLPKT</t>
        </is>
      </c>
      <c r="B140" t="inlineStr">
        <is>
          <t>10.2147/ijn.s54040</t>
        </is>
      </c>
      <c r="C140" s="2" t="inlineStr">
        <is>
          <t>Development of PLGA-based itraconazole injectable nanospheres for sustained release</t>
        </is>
      </c>
      <c r="D140" t="inlineStr">
        <is>
          <t>QLYKLPKT_F38</t>
        </is>
      </c>
      <c r="E140" s="3" t="inlineStr">
        <is>
          <t>itraconazole</t>
        </is>
      </c>
      <c r="F140" s="4" t="inlineStr">
        <is>
          <t>text_described</t>
        </is>
      </c>
      <c r="G140" s="3" t="inlineStr">
        <is>
          <t>fulltext</t>
        </is>
      </c>
      <c r="H140" s="4" t="inlineStr">
        <is>
          <t>yes</t>
        </is>
      </c>
      <c r="I140" s="4" t="inlineStr">
        <is>
          <t>medium</t>
        </is>
      </c>
      <c r="J140" s="4" t="inlineStr">
        <is>
          <t>pending</t>
        </is>
      </c>
      <c r="K140" s="3" t="inlineStr"/>
      <c r="L140">
        <f>IF(OR($F140="",$H140="",$I140="",$J140=""),"missing_required","")</f>
        <v/>
      </c>
      <c r="M140">
        <f>IF(COUNTIFS($A:$A,$A140,$D:$D,$D140)&gt;1,"duplicate_id","")</f>
        <v/>
      </c>
    </row>
    <row r="141">
      <c r="A141" t="inlineStr">
        <is>
          <t>RHMJWZX8</t>
        </is>
      </c>
      <c r="B141" t="inlineStr">
        <is>
          <t>10.1111/jphp.12481</t>
        </is>
      </c>
      <c r="C141" s="2" t="inlineStr">
        <is>
          <t>Polysorbate 80-coated PLGA nanoparticles improve the permeability of acetylpuerarin and enhance its brain-protective effects in rats</t>
        </is>
      </c>
      <c r="D141" t="inlineStr">
        <is>
          <t>1</t>
        </is>
      </c>
      <c r="E141" s="3" t="inlineStr">
        <is>
          <t>Acetylpuerarin</t>
        </is>
      </c>
      <c r="F141" s="4" t="inlineStr">
        <is>
          <t>text_described</t>
        </is>
      </c>
      <c r="G141" s="3" t="inlineStr">
        <is>
          <t>fulltext</t>
        </is>
      </c>
      <c r="H141" s="4" t="inlineStr">
        <is>
          <t>yes</t>
        </is>
      </c>
      <c r="I141" s="4" t="inlineStr">
        <is>
          <t>medium</t>
        </is>
      </c>
      <c r="J141" s="4" t="inlineStr">
        <is>
          <t>pending</t>
        </is>
      </c>
      <c r="K141" s="3" t="inlineStr">
        <is>
          <t>AP-PLGA-NPs were prepared by solvent diffusion methodology. 18 mg PLGA and 7 mg AP were dissolved in 1 mL acetone (organic phase), then poured into 4 mL aqueous phase containing 1% Polysorbate 80. The mixture was stirred for 12 hours. Characterization results are for the optimized formulation.</t>
        </is>
      </c>
      <c r="L141">
        <f>IF(OR($F141="",$H141="",$I141="",$J141=""),"missing_required","")</f>
        <v/>
      </c>
      <c r="M141">
        <f>IF(COUNTIFS($A:$A,$A141,$D:$D,$D141)&gt;1,"duplicate_id","")</f>
        <v/>
      </c>
    </row>
    <row r="142">
      <c r="A142" t="inlineStr">
        <is>
          <t>UFXX9WXE</t>
        </is>
      </c>
      <c r="B142" t="inlineStr">
        <is>
          <t>10.1155/2014/156010</t>
        </is>
      </c>
      <c r="C142" s="2" t="inlineStr">
        <is>
          <t>Formulation and Optimization of Polymeric Nanoparticles for Intranasal Delivery of Lorazepam Using Box-Behnken Design: &lt;i&gt;In Vitro&lt;/i&gt; and &lt;i&gt;In Vivo&lt;/i&gt; Evaluation</t>
        </is>
      </c>
      <c r="D142" t="inlineStr">
        <is>
          <t>1</t>
        </is>
      </c>
      <c r="E142" s="3" t="inlineStr">
        <is>
          <t>lorazepam</t>
        </is>
      </c>
      <c r="F142" s="4" t="inlineStr">
        <is>
          <t>text_described</t>
        </is>
      </c>
      <c r="G142" s="3" t="inlineStr">
        <is>
          <t>fulltext</t>
        </is>
      </c>
      <c r="H142" s="4" t="inlineStr">
        <is>
          <t>yes</t>
        </is>
      </c>
      <c r="I142" s="4" t="inlineStr">
        <is>
          <t>medium</t>
        </is>
      </c>
      <c r="J142" s="4" t="inlineStr">
        <is>
          <t>pending</t>
        </is>
      </c>
      <c r="K142" s="3" t="inlineStr">
        <is>
          <t>PLGA concentration is 35 mg/mL (w/v). Aqueous/organic phase volume ratio is 6.</t>
        </is>
      </c>
      <c r="L142">
        <f>IF(OR($F142="",$H142="",$I142="",$J142=""),"missing_required","")</f>
        <v/>
      </c>
      <c r="M142">
        <f>IF(COUNTIFS($A:$A,$A142,$D:$D,$D142)&gt;1,"duplicate_id","")</f>
        <v/>
      </c>
    </row>
    <row r="143">
      <c r="A143" t="inlineStr">
        <is>
          <t>UFXX9WXE</t>
        </is>
      </c>
      <c r="B143" t="inlineStr">
        <is>
          <t>10.1155/2014/156010</t>
        </is>
      </c>
      <c r="C143" s="2" t="inlineStr">
        <is>
          <t>Formulation and Optimization of Polymeric Nanoparticles for Intranasal Delivery of Lorazepam Using Box-Behnken Design: &lt;i&gt;In Vitro&lt;/i&gt; and &lt;i&gt;In Vivo&lt;/i&gt; Evaluation</t>
        </is>
      </c>
      <c r="D143" t="inlineStr">
        <is>
          <t>2</t>
        </is>
      </c>
      <c r="E143" s="3" t="inlineStr">
        <is>
          <t>lorazepam</t>
        </is>
      </c>
      <c r="F143" s="4" t="inlineStr">
        <is>
          <t>text_described</t>
        </is>
      </c>
      <c r="G143" s="3" t="inlineStr">
        <is>
          <t>fulltext</t>
        </is>
      </c>
      <c r="H143" s="4" t="inlineStr">
        <is>
          <t>yes</t>
        </is>
      </c>
      <c r="I143" s="4" t="inlineStr">
        <is>
          <t>medium</t>
        </is>
      </c>
      <c r="J143" s="4" t="inlineStr">
        <is>
          <t>pending</t>
        </is>
      </c>
      <c r="K143" s="3" t="inlineStr">
        <is>
          <t>PLGA concentration is 35 mg/mL (w/v). Aqueous/organic phase volume ratio is 6.</t>
        </is>
      </c>
      <c r="L143">
        <f>IF(OR($F143="",$H143="",$I143="",$J143=""),"missing_required","")</f>
        <v/>
      </c>
      <c r="M143">
        <f>IF(COUNTIFS($A:$A,$A143,$D:$D,$D143)&gt;1,"duplicate_id","")</f>
        <v/>
      </c>
    </row>
    <row r="144">
      <c r="A144" t="inlineStr">
        <is>
          <t>UFXX9WXE</t>
        </is>
      </c>
      <c r="B144" t="inlineStr">
        <is>
          <t>10.1155/2014/156010</t>
        </is>
      </c>
      <c r="C144" s="2" t="inlineStr">
        <is>
          <t>Formulation and Optimization of Polymeric Nanoparticles for Intranasal Delivery of Lorazepam Using Box-Behnken Design: &lt;i&gt;In Vitro&lt;/i&gt; and &lt;i&gt;In Vivo&lt;/i&gt; Evaluation</t>
        </is>
      </c>
      <c r="D144" t="inlineStr">
        <is>
          <t>3</t>
        </is>
      </c>
      <c r="E144" s="3" t="inlineStr">
        <is>
          <t>lorazepam</t>
        </is>
      </c>
      <c r="F144" s="4" t="inlineStr">
        <is>
          <t>text_described</t>
        </is>
      </c>
      <c r="G144" s="3" t="inlineStr">
        <is>
          <t>fulltext</t>
        </is>
      </c>
      <c r="H144" s="4" t="inlineStr">
        <is>
          <t>yes</t>
        </is>
      </c>
      <c r="I144" s="4" t="inlineStr">
        <is>
          <t>medium</t>
        </is>
      </c>
      <c r="J144" s="4" t="inlineStr">
        <is>
          <t>pending</t>
        </is>
      </c>
      <c r="K144" s="3" t="inlineStr">
        <is>
          <t>PLGA concentration is 10 mg/mL (w/v). Aqueous/organic phase volume ratio is 10.</t>
        </is>
      </c>
      <c r="L144">
        <f>IF(OR($F144="",$H144="",$I144="",$J144=""),"missing_required","")</f>
        <v/>
      </c>
      <c r="M144">
        <f>IF(COUNTIFS($A:$A,$A144,$D:$D,$D144)&gt;1,"duplicate_id","")</f>
        <v/>
      </c>
    </row>
    <row r="145">
      <c r="A145" t="inlineStr">
        <is>
          <t>UFXX9WXE</t>
        </is>
      </c>
      <c r="B145" t="inlineStr">
        <is>
          <t>10.1155/2014/156010</t>
        </is>
      </c>
      <c r="C145" s="2" t="inlineStr">
        <is>
          <t>Formulation and Optimization of Polymeric Nanoparticles for Intranasal Delivery of Lorazepam Using Box-Behnken Design: &lt;i&gt;In Vitro&lt;/i&gt; and &lt;i&gt;In Vivo&lt;/i&gt; Evaluation</t>
        </is>
      </c>
      <c r="D145" t="inlineStr">
        <is>
          <t>4</t>
        </is>
      </c>
      <c r="E145" s="3" t="inlineStr">
        <is>
          <t>lorazepam</t>
        </is>
      </c>
      <c r="F145" s="4" t="inlineStr">
        <is>
          <t>text_described</t>
        </is>
      </c>
      <c r="G145" s="3" t="inlineStr">
        <is>
          <t>fulltext</t>
        </is>
      </c>
      <c r="H145" s="4" t="inlineStr">
        <is>
          <t>yes</t>
        </is>
      </c>
      <c r="I145" s="4" t="inlineStr">
        <is>
          <t>medium</t>
        </is>
      </c>
      <c r="J145" s="4" t="inlineStr">
        <is>
          <t>pending</t>
        </is>
      </c>
      <c r="K145" s="3" t="inlineStr">
        <is>
          <t>PLGA concentration is 35 mg/mL (w/v). Aqueous/organic phase volume ratio is 2.</t>
        </is>
      </c>
      <c r="L145">
        <f>IF(OR($F145="",$H145="",$I145="",$J145=""),"missing_required","")</f>
        <v/>
      </c>
      <c r="M145">
        <f>IF(COUNTIFS($A:$A,$A145,$D:$D,$D145)&gt;1,"duplicate_id","")</f>
        <v/>
      </c>
    </row>
    <row r="146">
      <c r="A146" t="inlineStr">
        <is>
          <t>UFXX9WXE</t>
        </is>
      </c>
      <c r="B146" t="inlineStr">
        <is>
          <t>10.1155/2014/156010</t>
        </is>
      </c>
      <c r="C146" s="2" t="inlineStr">
        <is>
          <t>Formulation and Optimization of Polymeric Nanoparticles for Intranasal Delivery of Lorazepam Using Box-Behnken Design: &lt;i&gt;In Vitro&lt;/i&gt; and &lt;i&gt;In Vivo&lt;/i&gt; Evaluation</t>
        </is>
      </c>
      <c r="D146" t="inlineStr">
        <is>
          <t>5</t>
        </is>
      </c>
      <c r="E146" s="3" t="inlineStr">
        <is>
          <t>lorazepam</t>
        </is>
      </c>
      <c r="F146" s="4" t="inlineStr">
        <is>
          <t>text_described</t>
        </is>
      </c>
      <c r="G146" s="3" t="inlineStr">
        <is>
          <t>fulltext</t>
        </is>
      </c>
      <c r="H146" s="4" t="inlineStr">
        <is>
          <t>yes</t>
        </is>
      </c>
      <c r="I146" s="4" t="inlineStr">
        <is>
          <t>medium</t>
        </is>
      </c>
      <c r="J146" s="4" t="inlineStr">
        <is>
          <t>pending</t>
        </is>
      </c>
      <c r="K146" s="3" t="inlineStr">
        <is>
          <t>PLGA concentration is 10 mg/mL (w/v). Aqueous/organic phase volume ratio is 6.</t>
        </is>
      </c>
      <c r="L146">
        <f>IF(OR($F146="",$H146="",$I146="",$J146=""),"missing_required","")</f>
        <v/>
      </c>
      <c r="M146">
        <f>IF(COUNTIFS($A:$A,$A146,$D:$D,$D146)&gt;1,"duplicate_id","")</f>
        <v/>
      </c>
    </row>
    <row r="147">
      <c r="A147" t="inlineStr">
        <is>
          <t>UFXX9WXE</t>
        </is>
      </c>
      <c r="B147" t="inlineStr">
        <is>
          <t>10.1155/2014/156010</t>
        </is>
      </c>
      <c r="C147" s="2" t="inlineStr">
        <is>
          <t>Formulation and Optimization of Polymeric Nanoparticles for Intranasal Delivery of Lorazepam Using Box-Behnken Design: &lt;i&gt;In Vitro&lt;/i&gt; and &lt;i&gt;In Vivo&lt;/i&gt; Evaluation</t>
        </is>
      </c>
      <c r="D147" t="inlineStr">
        <is>
          <t>6</t>
        </is>
      </c>
      <c r="E147" s="3" t="inlineStr">
        <is>
          <t>lorazepam</t>
        </is>
      </c>
      <c r="F147" s="4" t="inlineStr">
        <is>
          <t>text_described</t>
        </is>
      </c>
      <c r="G147" s="3" t="inlineStr">
        <is>
          <t>fulltext</t>
        </is>
      </c>
      <c r="H147" s="4" t="inlineStr">
        <is>
          <t>yes</t>
        </is>
      </c>
      <c r="I147" s="4" t="inlineStr">
        <is>
          <t>medium</t>
        </is>
      </c>
      <c r="J147" s="4" t="inlineStr">
        <is>
          <t>pending</t>
        </is>
      </c>
      <c r="K147" s="3" t="inlineStr">
        <is>
          <t>PLGA concentration is 10 mg/mL (w/v). Aqueous/organic phase volume ratio is 6.</t>
        </is>
      </c>
      <c r="L147">
        <f>IF(OR($F147="",$H147="",$I147="",$J147=""),"missing_required","")</f>
        <v/>
      </c>
      <c r="M147">
        <f>IF(COUNTIFS($A:$A,$A147,$D:$D,$D147)&gt;1,"duplicate_id","")</f>
        <v/>
      </c>
    </row>
    <row r="148">
      <c r="A148" t="inlineStr">
        <is>
          <t>UFXX9WXE</t>
        </is>
      </c>
      <c r="B148" t="inlineStr">
        <is>
          <t>10.1155/2014/156010</t>
        </is>
      </c>
      <c r="C148" s="2" t="inlineStr">
        <is>
          <t>Formulation and Optimization of Polymeric Nanoparticles for Intranasal Delivery of Lorazepam Using Box-Behnken Design: &lt;i&gt;In Vitro&lt;/i&gt; and &lt;i&gt;In Vivo&lt;/i&gt; Evaluation</t>
        </is>
      </c>
      <c r="D148" t="inlineStr">
        <is>
          <t>7</t>
        </is>
      </c>
      <c r="E148" s="3" t="inlineStr">
        <is>
          <t>lorazepam</t>
        </is>
      </c>
      <c r="F148" s="4" t="inlineStr">
        <is>
          <t>text_described</t>
        </is>
      </c>
      <c r="G148" s="3" t="inlineStr">
        <is>
          <t>fulltext</t>
        </is>
      </c>
      <c r="H148" s="4" t="inlineStr">
        <is>
          <t>yes</t>
        </is>
      </c>
      <c r="I148" s="4" t="inlineStr">
        <is>
          <t>medium</t>
        </is>
      </c>
      <c r="J148" s="4" t="inlineStr">
        <is>
          <t>pending</t>
        </is>
      </c>
      <c r="K148" s="3" t="inlineStr">
        <is>
          <t>PLGA concentration is 10 mg/mL (w/v). Aqueous/organic phase volume ratio is 2.</t>
        </is>
      </c>
      <c r="L148">
        <f>IF(OR($F148="",$H148="",$I148="",$J148=""),"missing_required","")</f>
        <v/>
      </c>
      <c r="M148">
        <f>IF(COUNTIFS($A:$A,$A148,$D:$D,$D148)&gt;1,"duplicate_id","")</f>
        <v/>
      </c>
    </row>
    <row r="149">
      <c r="A149" t="inlineStr">
        <is>
          <t>UFXX9WXE</t>
        </is>
      </c>
      <c r="B149" t="inlineStr">
        <is>
          <t>10.1155/2014/156010</t>
        </is>
      </c>
      <c r="C149" s="2" t="inlineStr">
        <is>
          <t>Formulation and Optimization of Polymeric Nanoparticles for Intranasal Delivery of Lorazepam Using Box-Behnken Design: &lt;i&gt;In Vitro&lt;/i&gt; and &lt;i&gt;In Vivo&lt;/i&gt; Evaluation</t>
        </is>
      </c>
      <c r="D149" t="inlineStr">
        <is>
          <t>8</t>
        </is>
      </c>
      <c r="E149" s="3" t="inlineStr">
        <is>
          <t>lorazepam</t>
        </is>
      </c>
      <c r="F149" s="4" t="inlineStr">
        <is>
          <t>text_described</t>
        </is>
      </c>
      <c r="G149" s="3" t="inlineStr">
        <is>
          <t>fulltext</t>
        </is>
      </c>
      <c r="H149" s="4" t="inlineStr">
        <is>
          <t>yes</t>
        </is>
      </c>
      <c r="I149" s="4" t="inlineStr">
        <is>
          <t>medium</t>
        </is>
      </c>
      <c r="J149" s="4" t="inlineStr">
        <is>
          <t>pending</t>
        </is>
      </c>
      <c r="K149" s="3" t="inlineStr">
        <is>
          <t>PLGA concentration is 35 mg/mL (w/v). Aqueous/organic phase volume ratio is 6.</t>
        </is>
      </c>
      <c r="L149">
        <f>IF(OR($F149="",$H149="",$I149="",$J149=""),"missing_required","")</f>
        <v/>
      </c>
      <c r="M149">
        <f>IF(COUNTIFS($A:$A,$A149,$D:$D,$D149)&gt;1,"duplicate_id","")</f>
        <v/>
      </c>
    </row>
    <row r="150">
      <c r="A150" t="inlineStr">
        <is>
          <t>V99GKZEI</t>
        </is>
      </c>
      <c r="B150" t="inlineStr">
        <is>
          <t>10.1039/c5ra27386b</t>
        </is>
      </c>
      <c r="C150" s="2" t="inlineStr">
        <is>
          <t>Nanospheres based on PLGA/amphiphilic cyclodextrin assemblies as potential enhancers of Methylene Blue neuroprotective effect</t>
        </is>
      </c>
      <c r="D150" t="inlineStr">
        <is>
          <t>1</t>
        </is>
      </c>
      <c r="E150" s="3" t="inlineStr">
        <is>
          <t>Methylene Blue</t>
        </is>
      </c>
      <c r="F150" s="4" t="inlineStr">
        <is>
          <t>text_described</t>
        </is>
      </c>
      <c r="G150" s="3" t="inlineStr">
        <is>
          <t>fulltext</t>
        </is>
      </c>
      <c r="H150" s="4" t="inlineStr">
        <is>
          <t>yes</t>
        </is>
      </c>
      <c r="I150" s="4" t="inlineStr">
        <is>
          <t>medium</t>
        </is>
      </c>
      <c r="J150" s="4" t="inlineStr">
        <is>
          <t>pending</t>
        </is>
      </c>
      <c r="K150" s="3" t="inlineStr">
        <is>
          <t>PLGA (RG502H) MW range was 7000-17000 Da. SD for size: 4 nm, PDI: 0.02, D.C.%: 0.19, E.E.%: 1.12. Tween 80 was dissolved in the organic phase (acetone) with MB and PLGA. Yield%: 43.21 ± 2.69.</t>
        </is>
      </c>
      <c r="L150">
        <f>IF(OR($F150="",$H150="",$I150="",$J150=""),"missing_required","")</f>
        <v/>
      </c>
      <c r="M150">
        <f>IF(COUNTIFS($A:$A,$A150,$D:$D,$D150)&gt;1,"duplicate_id","")</f>
        <v/>
      </c>
    </row>
    <row r="151">
      <c r="A151" t="inlineStr">
        <is>
          <t>V99GKZEI</t>
        </is>
      </c>
      <c r="B151" t="inlineStr">
        <is>
          <t>10.1039/c5ra27386b</t>
        </is>
      </c>
      <c r="C151" s="2" t="inlineStr">
        <is>
          <t>Nanospheres based on PLGA/amphiphilic cyclodextrin assemblies as potential enhancers of Methylene Blue neuroprotective effect</t>
        </is>
      </c>
      <c r="D151" t="inlineStr">
        <is>
          <t>2</t>
        </is>
      </c>
      <c r="E151" s="3" t="inlineStr">
        <is>
          <t>Methylene Blue</t>
        </is>
      </c>
      <c r="F151" s="4" t="inlineStr">
        <is>
          <t>text_described</t>
        </is>
      </c>
      <c r="G151" s="3" t="inlineStr">
        <is>
          <t>fulltext</t>
        </is>
      </c>
      <c r="H151" s="4" t="inlineStr">
        <is>
          <t>yes</t>
        </is>
      </c>
      <c r="I151" s="4" t="inlineStr">
        <is>
          <t>medium</t>
        </is>
      </c>
      <c r="J151" s="4" t="inlineStr">
        <is>
          <t>pending</t>
        </is>
      </c>
      <c r="K151" s="3" t="inlineStr">
        <is>
          <t>PLGA (RG502H) MW range was 7000-17000 Da. SD for size: 5 nm, PDI: 0.10, D.C.%: 0.26, E.E.%: 1.54. Span® 80 (0.5% w/v) was used in the first emulsion (W1/O) phase. Yield%: 39.98 ± 6.32.</t>
        </is>
      </c>
      <c r="L151">
        <f>IF(OR($F151="",$H151="",$I151="",$J151=""),"missing_required","")</f>
        <v/>
      </c>
      <c r="M151">
        <f>IF(COUNTIFS($A:$A,$A151,$D:$D,$D151)&gt;1,"duplicate_id","")</f>
        <v/>
      </c>
    </row>
    <row r="152">
      <c r="A152" t="inlineStr">
        <is>
          <t>V99GKZEI</t>
        </is>
      </c>
      <c r="B152" t="inlineStr">
        <is>
          <t>10.1039/c5ra27386b</t>
        </is>
      </c>
      <c r="C152" s="2" t="inlineStr">
        <is>
          <t>Nanospheres based on PLGA/amphiphilic cyclodextrin assemblies as potential enhancers of Methylene Blue neuroprotective effect</t>
        </is>
      </c>
      <c r="D152" t="inlineStr">
        <is>
          <t>3</t>
        </is>
      </c>
      <c r="E152" s="3" t="inlineStr">
        <is>
          <t>Methylene Blue</t>
        </is>
      </c>
      <c r="F152" s="4" t="inlineStr">
        <is>
          <t>text_described</t>
        </is>
      </c>
      <c r="G152" s="3" t="inlineStr">
        <is>
          <t>fulltext</t>
        </is>
      </c>
      <c r="H152" s="4" t="inlineStr">
        <is>
          <t>yes</t>
        </is>
      </c>
      <c r="I152" s="4" t="inlineStr">
        <is>
          <t>medium</t>
        </is>
      </c>
      <c r="J152" s="4" t="inlineStr">
        <is>
          <t>pending</t>
        </is>
      </c>
      <c r="K152" s="3" t="inlineStr">
        <is>
          <t>PLGA (RG502H) MW range was 7000-17000 Da. SD for size: 6 nm, PDI: 0.06, D.C.%: 0.43, E.E.%: 2.58. SC6OH (amphiphilic cyclodextrin) was dissolved in the organic phase (acetone) with MB and PLGA. Yield%: 36.12 ± 3.21.</t>
        </is>
      </c>
      <c r="L152">
        <f>IF(OR($F152="",$H152="",$I152="",$J152=""),"missing_required","")</f>
        <v/>
      </c>
      <c r="M152">
        <f>IF(COUNTIFS($A:$A,$A152,$D:$D,$D152)&gt;1,"duplicate_id","")</f>
        <v/>
      </c>
    </row>
    <row r="153">
      <c r="A153" t="inlineStr">
        <is>
          <t>V99GKZEI</t>
        </is>
      </c>
      <c r="B153" t="inlineStr">
        <is>
          <t>10.1039/c5ra27386b</t>
        </is>
      </c>
      <c r="C153" s="2" t="inlineStr">
        <is>
          <t>Nanospheres based on PLGA/amphiphilic cyclodextrin assemblies as potential enhancers of Methylene Blue neuroprotective effect</t>
        </is>
      </c>
      <c r="D153" t="inlineStr">
        <is>
          <t>4</t>
        </is>
      </c>
      <c r="E153" s="3" t="inlineStr">
        <is>
          <t>Methylene Blue</t>
        </is>
      </c>
      <c r="F153" s="4" t="inlineStr">
        <is>
          <t>text_described</t>
        </is>
      </c>
      <c r="G153" s="3" t="inlineStr">
        <is>
          <t>fulltext</t>
        </is>
      </c>
      <c r="H153" s="4" t="inlineStr">
        <is>
          <t>yes</t>
        </is>
      </c>
      <c r="I153" s="4" t="inlineStr">
        <is>
          <t>medium</t>
        </is>
      </c>
      <c r="J153" s="4" t="inlineStr">
        <is>
          <t>pending</t>
        </is>
      </c>
      <c r="K153" s="3" t="inlineStr">
        <is>
          <t>PLGA (RG502H) MW range was 7000-17000 Da. SD for size: 2 nm, PDI: 0.08, D.C.%: 0.38, E.E.%: 2.31. SC6OH (amphiphilic cyclodextrin) was dissolved in the organic phase (acetone) with MB and PLGA. Yield%: 40.58 ± 1.89.</t>
        </is>
      </c>
      <c r="L153">
        <f>IF(OR($F153="",$H153="",$I153="",$J153=""),"missing_required","")</f>
        <v/>
      </c>
      <c r="M153">
        <f>IF(COUNTIFS($A:$A,$A153,$D:$D,$D153)&gt;1,"duplicate_id","")</f>
        <v/>
      </c>
    </row>
    <row r="154">
      <c r="A154" t="inlineStr">
        <is>
          <t>V99GKZEI</t>
        </is>
      </c>
      <c r="B154" t="inlineStr">
        <is>
          <t>10.1039/c5ra27386b</t>
        </is>
      </c>
      <c r="C154" s="2" t="inlineStr">
        <is>
          <t>Nanospheres based on PLGA/amphiphilic cyclodextrin assemblies as potential enhancers of Methylene Blue neuroprotective effect</t>
        </is>
      </c>
      <c r="D154" t="inlineStr">
        <is>
          <t>5</t>
        </is>
      </c>
      <c r="E154" s="3" t="inlineStr">
        <is>
          <t>Methylene Blue</t>
        </is>
      </c>
      <c r="F154" s="4" t="inlineStr">
        <is>
          <t>text_described</t>
        </is>
      </c>
      <c r="G154" s="3" t="inlineStr">
        <is>
          <t>fulltext</t>
        </is>
      </c>
      <c r="H154" s="4" t="inlineStr">
        <is>
          <t>yes</t>
        </is>
      </c>
      <c r="I154" s="4" t="inlineStr">
        <is>
          <t>medium</t>
        </is>
      </c>
      <c r="J154" s="4" t="inlineStr">
        <is>
          <t>pending</t>
        </is>
      </c>
      <c r="K154" s="3" t="inlineStr">
        <is>
          <t>PLGA (RG502H) MW range was 7000-17000 Da. SD for size: 5 nm, PDI: 0.04, D.C.%: 0.61, E.E.%: 3.65. SC6OH (amphiphilic cyclodextrin) was dissolved in the organic phase (acetone) with MB and PLGA. Yield%: 34.14 ± 5.61.</t>
        </is>
      </c>
      <c r="L154">
        <f>IF(OR($F154="",$H154="",$I154="",$J154=""),"missing_required","")</f>
        <v/>
      </c>
      <c r="M154">
        <f>IF(COUNTIFS($A:$A,$A154,$D:$D,$D154)&gt;1,"duplicate_id","")</f>
        <v/>
      </c>
    </row>
    <row r="155">
      <c r="A155" t="inlineStr">
        <is>
          <t>V99GKZEI</t>
        </is>
      </c>
      <c r="B155" t="inlineStr">
        <is>
          <t>10.1039/c5ra27386b</t>
        </is>
      </c>
      <c r="C155" s="2" t="inlineStr">
        <is>
          <t>Nanospheres based on PLGA/amphiphilic cyclodextrin assemblies as potential enhancers of Methylene Blue neuroprotective effect</t>
        </is>
      </c>
      <c r="D155" t="inlineStr">
        <is>
          <t>6</t>
        </is>
      </c>
      <c r="E155" s="3" t="inlineStr">
        <is>
          <t>Methylene Blue</t>
        </is>
      </c>
      <c r="F155" s="4" t="inlineStr">
        <is>
          <t>text_described</t>
        </is>
      </c>
      <c r="G155" s="3" t="inlineStr">
        <is>
          <t>fulltext</t>
        </is>
      </c>
      <c r="H155" s="4" t="inlineStr">
        <is>
          <t>yes</t>
        </is>
      </c>
      <c r="I155" s="4" t="inlineStr">
        <is>
          <t>medium</t>
        </is>
      </c>
      <c r="J155" s="4" t="inlineStr">
        <is>
          <t>pending</t>
        </is>
      </c>
      <c r="K155" s="3" t="inlineStr">
        <is>
          <t>PLGA (RG502H) MW range was 7000-17000 Da. SD for size: 2 nm, PDI: 0.08, D.C.%: 0.31, E.E.%: 1.86. SC6OH (amphiphilic cyclodextrin) was dissolved in the organic phase (acetone) with MB and PLGA. Yield%: 40.85 ± 4.01.</t>
        </is>
      </c>
      <c r="L155">
        <f>IF(OR($F155="",$H155="",$I155="",$J155=""),"missing_required","")</f>
        <v/>
      </c>
      <c r="M155">
        <f>IF(COUNTIFS($A:$A,$A155,$D:$D,$D155)&gt;1,"duplicate_id","")</f>
        <v/>
      </c>
    </row>
    <row r="156">
      <c r="A156" t="inlineStr">
        <is>
          <t>WFDTQ4VX</t>
        </is>
      </c>
      <c r="B156" t="inlineStr">
        <is>
          <t>10.1080/10717544.2016.1199605</t>
        </is>
      </c>
      <c r="C156" s="2" t="inlineStr">
        <is>
          <t>Bioavailability enhancement, Caco-2 cells uptake and intestinal transport of orally administered lopinavir-loaded PLGA nanoparticles</t>
        </is>
      </c>
      <c r="D156" t="inlineStr">
        <is>
          <t>1</t>
        </is>
      </c>
      <c r="E156" s="3" t="inlineStr">
        <is>
          <t>lopinavir</t>
        </is>
      </c>
      <c r="F156" s="4" t="inlineStr">
        <is>
          <t>text_described</t>
        </is>
      </c>
      <c r="G156" s="3" t="inlineStr">
        <is>
          <t>fulltext</t>
        </is>
      </c>
      <c r="H156" s="4" t="inlineStr">
        <is>
          <t>yes</t>
        </is>
      </c>
      <c r="I156" s="4" t="inlineStr">
        <is>
          <t>medium</t>
        </is>
      </c>
      <c r="J156" s="4" t="inlineStr">
        <is>
          <t>pending</t>
        </is>
      </c>
      <c r="K156" s="3" t="inlineStr"/>
      <c r="L156">
        <f>IF(OR($F156="",$H156="",$I156="",$J156=""),"missing_required","")</f>
        <v/>
      </c>
      <c r="M156">
        <f>IF(COUNTIFS($A:$A,$A156,$D:$D,$D156)&gt;1,"duplicate_id","")</f>
        <v/>
      </c>
    </row>
    <row r="157">
      <c r="A157" t="inlineStr">
        <is>
          <t>WFDTQ4VX</t>
        </is>
      </c>
      <c r="B157" t="inlineStr">
        <is>
          <t>10.1080/10717544.2016.1199605</t>
        </is>
      </c>
      <c r="C157" s="2" t="inlineStr">
        <is>
          <t>Bioavailability enhancement, Caco-2 cells uptake and intestinal transport of orally administered lopinavir-loaded PLGA nanoparticles</t>
        </is>
      </c>
      <c r="D157" t="inlineStr">
        <is>
          <t>2</t>
        </is>
      </c>
      <c r="E157" s="3" t="inlineStr">
        <is>
          <t>6-Coumarin</t>
        </is>
      </c>
      <c r="F157" s="4" t="inlineStr">
        <is>
          <t>text_described</t>
        </is>
      </c>
      <c r="G157" s="3" t="inlineStr">
        <is>
          <t>fulltext</t>
        </is>
      </c>
      <c r="H157" s="4" t="inlineStr">
        <is>
          <t>yes</t>
        </is>
      </c>
      <c r="I157" s="4" t="inlineStr">
        <is>
          <t>medium</t>
        </is>
      </c>
      <c r="J157" s="4" t="inlineStr">
        <is>
          <t>pending</t>
        </is>
      </c>
      <c r="K157" s="3" t="inlineStr">
        <is>
          <t>6-Coumarin-loaded PLGA NPs were prepared by nanoprecipitation method</t>
        </is>
      </c>
      <c r="L157">
        <f>IF(OR($F157="",$H157="",$I157="",$J157=""),"missing_required","")</f>
        <v/>
      </c>
      <c r="M157">
        <f>IF(COUNTIFS($A:$A,$A157,$D:$D,$D157)&gt;1,"duplicate_id","")</f>
        <v/>
      </c>
    </row>
    <row r="158">
      <c r="A158" t="inlineStr">
        <is>
          <t>WFDTQ4VX</t>
        </is>
      </c>
      <c r="B158" t="inlineStr">
        <is>
          <t>10.1080/10717544.2016.1199605</t>
        </is>
      </c>
      <c r="C158" s="2" t="inlineStr">
        <is>
          <t>Bioavailability enhancement, Caco-2 cells uptake and intestinal transport of orally administered lopinavir-loaded PLGA nanoparticles</t>
        </is>
      </c>
      <c r="D158" t="inlineStr">
        <is>
          <t>3</t>
        </is>
      </c>
      <c r="E158" s="3" t="inlineStr">
        <is>
          <t>lopinavir</t>
        </is>
      </c>
      <c r="F158" s="4" t="inlineStr">
        <is>
          <t>text_described</t>
        </is>
      </c>
      <c r="G158" s="3" t="inlineStr">
        <is>
          <t>fulltext</t>
        </is>
      </c>
      <c r="H158" s="4" t="inlineStr">
        <is>
          <t>yes</t>
        </is>
      </c>
      <c r="I158" s="4" t="inlineStr">
        <is>
          <t>medium</t>
        </is>
      </c>
      <c r="J158" s="4" t="inlineStr">
        <is>
          <t>pending</t>
        </is>
      </c>
      <c r="K158" s="3" t="inlineStr">
        <is>
          <t>lopinavir suspension in 5% methylcellulose</t>
        </is>
      </c>
      <c r="L158">
        <f>IF(OR($F158="",$H158="",$I158="",$J158=""),"missing_required","")</f>
        <v/>
      </c>
      <c r="M158">
        <f>IF(COUNTIFS($A:$A,$A158,$D:$D,$D158)&gt;1,"duplicate_id","")</f>
        <v/>
      </c>
    </row>
    <row r="159">
      <c r="A159" t="inlineStr">
        <is>
          <t>WFDTQ4VX</t>
        </is>
      </c>
      <c r="B159" t="inlineStr">
        <is>
          <t>10.1080/10717544.2016.1199605</t>
        </is>
      </c>
      <c r="C159" s="2" t="inlineStr">
        <is>
          <t>Bioavailability enhancement, Caco-2 cells uptake and intestinal transport of orally administered lopinavir-loaded PLGA nanoparticles</t>
        </is>
      </c>
      <c r="D159" t="inlineStr">
        <is>
          <t>Batch 1</t>
        </is>
      </c>
      <c r="E159" s="3" t="inlineStr">
        <is>
          <t>lopinavir</t>
        </is>
      </c>
      <c r="F159" s="4" t="inlineStr">
        <is>
          <t>text_described</t>
        </is>
      </c>
      <c r="G159" s="3" t="inlineStr">
        <is>
          <t>fulltext</t>
        </is>
      </c>
      <c r="H159" s="4" t="inlineStr">
        <is>
          <t>yes</t>
        </is>
      </c>
      <c r="I159" s="4" t="inlineStr">
        <is>
          <t>medium</t>
        </is>
      </c>
      <c r="J159" s="4" t="inlineStr">
        <is>
          <t>pending</t>
        </is>
      </c>
      <c r="K159" s="3" t="inlineStr">
        <is>
          <t>Polymer concentration in organic phase: 1% w/v. Particle size: 126.6 ± 4.16 nm. Encapsulation efficiency: 36.5 ± 2.21 %.</t>
        </is>
      </c>
      <c r="L159">
        <f>IF(OR($F159="",$H159="",$I159="",$J159=""),"missing_required","")</f>
        <v/>
      </c>
      <c r="M159">
        <f>IF(COUNTIFS($A:$A,$A159,$D:$D,$D159)&gt;1,"duplicate_id","")</f>
        <v/>
      </c>
    </row>
    <row r="160">
      <c r="A160" t="inlineStr">
        <is>
          <t>WFDTQ4VX</t>
        </is>
      </c>
      <c r="B160" t="inlineStr">
        <is>
          <t>10.1080/10717544.2016.1199605</t>
        </is>
      </c>
      <c r="C160" s="2" t="inlineStr">
        <is>
          <t>Bioavailability enhancement, Caco-2 cells uptake and intestinal transport of orally administered lopinavir-loaded PLGA nanoparticles</t>
        </is>
      </c>
      <c r="D160" t="inlineStr">
        <is>
          <t>Batch 10</t>
        </is>
      </c>
      <c r="E160" s="3" t="inlineStr">
        <is>
          <t>lopinavir</t>
        </is>
      </c>
      <c r="F160" s="4" t="inlineStr">
        <is>
          <t>text_described</t>
        </is>
      </c>
      <c r="G160" s="3" t="inlineStr">
        <is>
          <t>fulltext</t>
        </is>
      </c>
      <c r="H160" s="4" t="inlineStr">
        <is>
          <t>yes</t>
        </is>
      </c>
      <c r="I160" s="4" t="inlineStr">
        <is>
          <t>medium</t>
        </is>
      </c>
      <c r="J160" s="4" t="inlineStr">
        <is>
          <t>pending</t>
        </is>
      </c>
      <c r="K160" s="3" t="inlineStr">
        <is>
          <t>Polymer concentration in organic phase: 1% w/v. Particle size: 144.1 ± 2.13 nm. Encapsulation efficiency: 61.6 ± 2.56 %.</t>
        </is>
      </c>
      <c r="L160">
        <f>IF(OR($F160="",$H160="",$I160="",$J160=""),"missing_required","")</f>
        <v/>
      </c>
      <c r="M160">
        <f>IF(COUNTIFS($A:$A,$A160,$D:$D,$D160)&gt;1,"duplicate_id","")</f>
        <v/>
      </c>
    </row>
    <row r="161">
      <c r="A161" t="inlineStr">
        <is>
          <t>WFDTQ4VX</t>
        </is>
      </c>
      <c r="B161" t="inlineStr">
        <is>
          <t>10.1080/10717544.2016.1199605</t>
        </is>
      </c>
      <c r="C161" s="2" t="inlineStr">
        <is>
          <t>Bioavailability enhancement, Caco-2 cells uptake and intestinal transport of orally administered lopinavir-loaded PLGA nanoparticles</t>
        </is>
      </c>
      <c r="D161" t="inlineStr">
        <is>
          <t>Batch 11</t>
        </is>
      </c>
      <c r="E161" s="3" t="inlineStr">
        <is>
          <t>lopinavir</t>
        </is>
      </c>
      <c r="F161" s="4" t="inlineStr">
        <is>
          <t>text_described</t>
        </is>
      </c>
      <c r="G161" s="3" t="inlineStr">
        <is>
          <t>fulltext</t>
        </is>
      </c>
      <c r="H161" s="4" t="inlineStr">
        <is>
          <t>yes</t>
        </is>
      </c>
      <c r="I161" s="4" t="inlineStr">
        <is>
          <t>medium</t>
        </is>
      </c>
      <c r="J161" s="4" t="inlineStr">
        <is>
          <t>pending</t>
        </is>
      </c>
      <c r="K161" s="3" t="inlineStr">
        <is>
          <t>Polymer concentration in organic phase: 1% w/v. Particle size: 148.2 ± 1.98 nm. Encapsulation efficiency: 55.4 ± 1.34 %.</t>
        </is>
      </c>
      <c r="L161">
        <f>IF(OR($F161="",$H161="",$I161="",$J161=""),"missing_required","")</f>
        <v/>
      </c>
      <c r="M161">
        <f>IF(COUNTIFS($A:$A,$A161,$D:$D,$D161)&gt;1,"duplicate_id","")</f>
        <v/>
      </c>
    </row>
    <row r="162">
      <c r="A162" t="inlineStr">
        <is>
          <t>WFDTQ4VX</t>
        </is>
      </c>
      <c r="B162" t="inlineStr">
        <is>
          <t>10.1080/10717544.2016.1199605</t>
        </is>
      </c>
      <c r="C162" s="2" t="inlineStr">
        <is>
          <t>Bioavailability enhancement, Caco-2 cells uptake and intestinal transport of orally administered lopinavir-loaded PLGA nanoparticles</t>
        </is>
      </c>
      <c r="D162" t="inlineStr">
        <is>
          <t>Batch 12</t>
        </is>
      </c>
      <c r="E162" s="3" t="inlineStr">
        <is>
          <t>lopinavir</t>
        </is>
      </c>
      <c r="F162" s="4" t="inlineStr">
        <is>
          <t>text_described</t>
        </is>
      </c>
      <c r="G162" s="3" t="inlineStr">
        <is>
          <t>fulltext</t>
        </is>
      </c>
      <c r="H162" s="4" t="inlineStr">
        <is>
          <t>yes</t>
        </is>
      </c>
      <c r="I162" s="4" t="inlineStr">
        <is>
          <t>medium</t>
        </is>
      </c>
      <c r="J162" s="4" t="inlineStr">
        <is>
          <t>pending</t>
        </is>
      </c>
      <c r="K162" s="3" t="inlineStr">
        <is>
          <t>Polymer concentration in organic phase: 1% w/v. Particle size: 152.6 ± 6.23 nm. Encapsulation efficiency: 47.4 ± 1.04 %.</t>
        </is>
      </c>
      <c r="L162">
        <f>IF(OR($F162="",$H162="",$I162="",$J162=""),"missing_required","")</f>
        <v/>
      </c>
      <c r="M162">
        <f>IF(COUNTIFS($A:$A,$A162,$D:$D,$D162)&gt;1,"duplicate_id","")</f>
        <v/>
      </c>
    </row>
    <row r="163">
      <c r="A163" t="inlineStr">
        <is>
          <t>WFDTQ4VX</t>
        </is>
      </c>
      <c r="B163" t="inlineStr">
        <is>
          <t>10.1080/10717544.2016.1199605</t>
        </is>
      </c>
      <c r="C163" s="2" t="inlineStr">
        <is>
          <t>Bioavailability enhancement, Caco-2 cells uptake and intestinal transport of orally administered lopinavir-loaded PLGA nanoparticles</t>
        </is>
      </c>
      <c r="D163" t="inlineStr">
        <is>
          <t>Batch 13</t>
        </is>
      </c>
      <c r="E163" s="3" t="inlineStr">
        <is>
          <t>lopinavir</t>
        </is>
      </c>
      <c r="F163" s="4" t="inlineStr">
        <is>
          <t>text_described</t>
        </is>
      </c>
      <c r="G163" s="3" t="inlineStr">
        <is>
          <t>fulltext</t>
        </is>
      </c>
      <c r="H163" s="4" t="inlineStr">
        <is>
          <t>yes</t>
        </is>
      </c>
      <c r="I163" s="4" t="inlineStr">
        <is>
          <t>medium</t>
        </is>
      </c>
      <c r="J163" s="4" t="inlineStr">
        <is>
          <t>pending</t>
        </is>
      </c>
      <c r="K163" s="3" t="inlineStr">
        <is>
          <t>Polymer concentration in organic phase: 2% w/v. Particle size: 155.6 ± 4.61 nm. Encapsulation efficiency: 83.3 ± 1.42 %.</t>
        </is>
      </c>
      <c r="L163">
        <f>IF(OR($F163="",$H163="",$I163="",$J163=""),"missing_required","")</f>
        <v/>
      </c>
      <c r="M163">
        <f>IF(COUNTIFS($A:$A,$A163,$D:$D,$D163)&gt;1,"duplicate_id","")</f>
        <v/>
      </c>
    </row>
    <row r="164">
      <c r="A164" t="inlineStr">
        <is>
          <t>WFDTQ4VX</t>
        </is>
      </c>
      <c r="B164" t="inlineStr">
        <is>
          <t>10.1080/10717544.2016.1199605</t>
        </is>
      </c>
      <c r="C164" s="2" t="inlineStr">
        <is>
          <t>Bioavailability enhancement, Caco-2 cells uptake and intestinal transport of orally administered lopinavir-loaded PLGA nanoparticles</t>
        </is>
      </c>
      <c r="D164" t="inlineStr">
        <is>
          <t>Batch 14</t>
        </is>
      </c>
      <c r="E164" s="3" t="inlineStr">
        <is>
          <t>lopinavir</t>
        </is>
      </c>
      <c r="F164" s="4" t="inlineStr">
        <is>
          <t>text_described</t>
        </is>
      </c>
      <c r="G164" s="3" t="inlineStr">
        <is>
          <t>fulltext</t>
        </is>
      </c>
      <c r="H164" s="4" t="inlineStr">
        <is>
          <t>yes</t>
        </is>
      </c>
      <c r="I164" s="4" t="inlineStr">
        <is>
          <t>medium</t>
        </is>
      </c>
      <c r="J164" s="4" t="inlineStr">
        <is>
          <t>pending</t>
        </is>
      </c>
      <c r="K164" s="3" t="inlineStr">
        <is>
          <t>Polymer concentration in organic phase: 2% w/v. Particle size: 159.6 ± 3.73 nm. Encapsulation efficiency: 73.2 ± 1.35 %.</t>
        </is>
      </c>
      <c r="L164">
        <f>IF(OR($F164="",$H164="",$I164="",$J164=""),"missing_required","")</f>
        <v/>
      </c>
      <c r="M164">
        <f>IF(COUNTIFS($A:$A,$A164,$D:$D,$D164)&gt;1,"duplicate_id","")</f>
        <v/>
      </c>
    </row>
    <row r="165">
      <c r="A165" t="inlineStr">
        <is>
          <t>WFDTQ4VX</t>
        </is>
      </c>
      <c r="B165" t="inlineStr">
        <is>
          <t>10.1080/10717544.2016.1199605</t>
        </is>
      </c>
      <c r="C165" s="2" t="inlineStr">
        <is>
          <t>Bioavailability enhancement, Caco-2 cells uptake and intestinal transport of orally administered lopinavir-loaded PLGA nanoparticles</t>
        </is>
      </c>
      <c r="D165" t="inlineStr">
        <is>
          <t>Batch 15</t>
        </is>
      </c>
      <c r="E165" s="3" t="inlineStr">
        <is>
          <t>lopinavir</t>
        </is>
      </c>
      <c r="F165" s="4" t="inlineStr">
        <is>
          <t>text_described</t>
        </is>
      </c>
      <c r="G165" s="3" t="inlineStr">
        <is>
          <t>fulltext</t>
        </is>
      </c>
      <c r="H165" s="4" t="inlineStr">
        <is>
          <t>yes</t>
        </is>
      </c>
      <c r="I165" s="4" t="inlineStr">
        <is>
          <t>medium</t>
        </is>
      </c>
      <c r="J165" s="4" t="inlineStr">
        <is>
          <t>pending</t>
        </is>
      </c>
      <c r="K165" s="3" t="inlineStr">
        <is>
          <t>Polymer concentration in organic phase: 2% w/v. Particle size: 165.2 ± 7.26 nm. Encapsulation efficiency: 63.1 ± 2.17 %.</t>
        </is>
      </c>
      <c r="L165">
        <f>IF(OR($F165="",$H165="",$I165="",$J165=""),"missing_required","")</f>
        <v/>
      </c>
      <c r="M165">
        <f>IF(COUNTIFS($A:$A,$A165,$D:$D,$D165)&gt;1,"duplicate_id","")</f>
        <v/>
      </c>
    </row>
    <row r="166">
      <c r="A166" t="inlineStr">
        <is>
          <t>WFDTQ4VX</t>
        </is>
      </c>
      <c r="B166" t="inlineStr">
        <is>
          <t>10.1080/10717544.2016.1199605</t>
        </is>
      </c>
      <c r="C166" s="2" t="inlineStr">
        <is>
          <t>Bioavailability enhancement, Caco-2 cells uptake and intestinal transport of orally administered lopinavir-loaded PLGA nanoparticles</t>
        </is>
      </c>
      <c r="D166" t="inlineStr">
        <is>
          <t>Batch 16</t>
        </is>
      </c>
      <c r="E166" s="3" t="inlineStr">
        <is>
          <t>lopinavir</t>
        </is>
      </c>
      <c r="F166" s="4" t="inlineStr">
        <is>
          <t>text_described</t>
        </is>
      </c>
      <c r="G166" s="3" t="inlineStr">
        <is>
          <t>fulltext</t>
        </is>
      </c>
      <c r="H166" s="4" t="inlineStr">
        <is>
          <t>yes</t>
        </is>
      </c>
      <c r="I166" s="4" t="inlineStr">
        <is>
          <t>medium</t>
        </is>
      </c>
      <c r="J166" s="4" t="inlineStr">
        <is>
          <t>pending</t>
        </is>
      </c>
      <c r="K166" s="3" t="inlineStr">
        <is>
          <t>Polymer concentration in organic phase: 3% w/v. Particle size: 162.6 ± 2.34 nm. Encapsulation efficiency: 91.4 ± 2.43 %.</t>
        </is>
      </c>
      <c r="L166">
        <f>IF(OR($F166="",$H166="",$I166="",$J166=""),"missing_required","")</f>
        <v/>
      </c>
      <c r="M166">
        <f>IF(COUNTIFS($A:$A,$A166,$D:$D,$D166)&gt;1,"duplicate_id","")</f>
        <v/>
      </c>
    </row>
    <row r="167">
      <c r="A167" t="inlineStr">
        <is>
          <t>WFDTQ4VX</t>
        </is>
      </c>
      <c r="B167" t="inlineStr">
        <is>
          <t>10.1080/10717544.2016.1199605</t>
        </is>
      </c>
      <c r="C167" s="2" t="inlineStr">
        <is>
          <t>Bioavailability enhancement, Caco-2 cells uptake and intestinal transport of orally administered lopinavir-loaded PLGA nanoparticles</t>
        </is>
      </c>
      <c r="D167" t="inlineStr">
        <is>
          <t>Batch 17</t>
        </is>
      </c>
      <c r="E167" s="3" t="inlineStr">
        <is>
          <t>lopinavir</t>
        </is>
      </c>
      <c r="F167" s="4" t="inlineStr">
        <is>
          <t>text_described</t>
        </is>
      </c>
      <c r="G167" s="3" t="inlineStr">
        <is>
          <t>fulltext</t>
        </is>
      </c>
      <c r="H167" s="4" t="inlineStr">
        <is>
          <t>yes</t>
        </is>
      </c>
      <c r="I167" s="4" t="inlineStr">
        <is>
          <t>medium</t>
        </is>
      </c>
      <c r="J167" s="4" t="inlineStr">
        <is>
          <t>pending</t>
        </is>
      </c>
      <c r="K167" s="3" t="inlineStr">
        <is>
          <t>Polymer concentration in organic phase: 3% w/v. Particle size: 169.7 ± 3.87 nm. Encapsulation efficiency: 84.6 ± 2.57 %.</t>
        </is>
      </c>
      <c r="L167">
        <f>IF(OR($F167="",$H167="",$I167="",$J167=""),"missing_required","")</f>
        <v/>
      </c>
      <c r="M167">
        <f>IF(COUNTIFS($A:$A,$A167,$D:$D,$D167)&gt;1,"duplicate_id","")</f>
        <v/>
      </c>
    </row>
    <row r="168">
      <c r="A168" t="inlineStr">
        <is>
          <t>WFDTQ4VX</t>
        </is>
      </c>
      <c r="B168" t="inlineStr">
        <is>
          <t>10.1080/10717544.2016.1199605</t>
        </is>
      </c>
      <c r="C168" s="2" t="inlineStr">
        <is>
          <t>Bioavailability enhancement, Caco-2 cells uptake and intestinal transport of orally administered lopinavir-loaded PLGA nanoparticles</t>
        </is>
      </c>
      <c r="D168" t="inlineStr">
        <is>
          <t>Batch 18</t>
        </is>
      </c>
      <c r="E168" s="3" t="inlineStr">
        <is>
          <t>lopinavir</t>
        </is>
      </c>
      <c r="F168" s="4" t="inlineStr">
        <is>
          <t>text_described</t>
        </is>
      </c>
      <c r="G168" s="3" t="inlineStr">
        <is>
          <t>fulltext</t>
        </is>
      </c>
      <c r="H168" s="4" t="inlineStr">
        <is>
          <t>yes</t>
        </is>
      </c>
      <c r="I168" s="4" t="inlineStr">
        <is>
          <t>medium</t>
        </is>
      </c>
      <c r="J168" s="4" t="inlineStr">
        <is>
          <t>pending</t>
        </is>
      </c>
      <c r="K168" s="3" t="inlineStr">
        <is>
          <t>Polymer concentration in organic phase: 3% w/v. Particle size: 173.8 ± 4.23 nm. Encapsulation efficiency: 77.5 ± 1.93 %.</t>
        </is>
      </c>
      <c r="L168">
        <f>IF(OR($F168="",$H168="",$I168="",$J168=""),"missing_required","")</f>
        <v/>
      </c>
      <c r="M168">
        <f>IF(COUNTIFS($A:$A,$A168,$D:$D,$D168)&gt;1,"duplicate_id","")</f>
        <v/>
      </c>
    </row>
    <row r="169">
      <c r="A169" t="inlineStr">
        <is>
          <t>WFDTQ4VX</t>
        </is>
      </c>
      <c r="B169" t="inlineStr">
        <is>
          <t>10.1080/10717544.2016.1199605</t>
        </is>
      </c>
      <c r="C169" s="2" t="inlineStr">
        <is>
          <t>Bioavailability enhancement, Caco-2 cells uptake and intestinal transport of orally administered lopinavir-loaded PLGA nanoparticles</t>
        </is>
      </c>
      <c r="D169" t="inlineStr">
        <is>
          <t>Batch 19</t>
        </is>
      </c>
      <c r="E169" s="3" t="inlineStr">
        <is>
          <t>lopinavir</t>
        </is>
      </c>
      <c r="F169" s="4" t="inlineStr">
        <is>
          <t>text_described</t>
        </is>
      </c>
      <c r="G169" s="3" t="inlineStr">
        <is>
          <t>fulltext</t>
        </is>
      </c>
      <c r="H169" s="4" t="inlineStr">
        <is>
          <t>yes</t>
        </is>
      </c>
      <c r="I169" s="4" t="inlineStr">
        <is>
          <t>medium</t>
        </is>
      </c>
      <c r="J169" s="4" t="inlineStr">
        <is>
          <t>pending</t>
        </is>
      </c>
      <c r="K169" s="3" t="inlineStr">
        <is>
          <t>Polymer concentration in organic phase: 1% w/v. Particle size: 142.1 ± 2.13 nm. Encapsulation efficiency: 93.3 ± 1.27 %. This batch corresponds to the 'optimized' NPs whose characteristics are mentioned in the abstract (PS: 142.1 ± 2.13 nm, EE: 93.03 ± 1.27 %).</t>
        </is>
      </c>
      <c r="L169">
        <f>IF(OR($F169="",$H169="",$I169="",$J169=""),"missing_required","")</f>
        <v/>
      </c>
      <c r="M169">
        <f>IF(COUNTIFS($A:$A,$A169,$D:$D,$D169)&gt;1,"duplicate_id","")</f>
        <v/>
      </c>
    </row>
    <row r="170">
      <c r="A170" t="inlineStr">
        <is>
          <t>WFDTQ4VX</t>
        </is>
      </c>
      <c r="B170" t="inlineStr">
        <is>
          <t>10.1080/10717544.2016.1199605</t>
        </is>
      </c>
      <c r="C170" s="2" t="inlineStr">
        <is>
          <t>Bioavailability enhancement, Caco-2 cells uptake and intestinal transport of orally administered lopinavir-loaded PLGA nanoparticles</t>
        </is>
      </c>
      <c r="D170" t="inlineStr">
        <is>
          <t>Batch 2</t>
        </is>
      </c>
      <c r="E170" s="3" t="inlineStr">
        <is>
          <t>lopinavir</t>
        </is>
      </c>
      <c r="F170" s="4" t="inlineStr">
        <is>
          <t>text_described</t>
        </is>
      </c>
      <c r="G170" s="3" t="inlineStr">
        <is>
          <t>fulltext</t>
        </is>
      </c>
      <c r="H170" s="4" t="inlineStr">
        <is>
          <t>yes</t>
        </is>
      </c>
      <c r="I170" s="4" t="inlineStr">
        <is>
          <t>medium</t>
        </is>
      </c>
      <c r="J170" s="4" t="inlineStr">
        <is>
          <t>pending</t>
        </is>
      </c>
      <c r="K170" s="3" t="inlineStr">
        <is>
          <t>Polymer concentration in organic phase: 1% w/v. Particle size: 131.3 ± 6.13 nm. Encapsulation efficiency: 29.4 ± 1.05 %.</t>
        </is>
      </c>
      <c r="L170">
        <f>IF(OR($F170="",$H170="",$I170="",$J170=""),"missing_required","")</f>
        <v/>
      </c>
      <c r="M170">
        <f>IF(COUNTIFS($A:$A,$A170,$D:$D,$D170)&gt;1,"duplicate_id","")</f>
        <v/>
      </c>
    </row>
    <row r="171">
      <c r="A171" t="inlineStr">
        <is>
          <t>WFDTQ4VX</t>
        </is>
      </c>
      <c r="B171" t="inlineStr">
        <is>
          <t>10.1080/10717544.2016.1199605</t>
        </is>
      </c>
      <c r="C171" s="2" t="inlineStr">
        <is>
          <t>Bioavailability enhancement, Caco-2 cells uptake and intestinal transport of orally administered lopinavir-loaded PLGA nanoparticles</t>
        </is>
      </c>
      <c r="D171" t="inlineStr">
        <is>
          <t>Batch 20</t>
        </is>
      </c>
      <c r="E171" s="3" t="inlineStr">
        <is>
          <t>lopinavir</t>
        </is>
      </c>
      <c r="F171" s="4" t="inlineStr">
        <is>
          <t>text_described</t>
        </is>
      </c>
      <c r="G171" s="3" t="inlineStr">
        <is>
          <t>fulltext</t>
        </is>
      </c>
      <c r="H171" s="4" t="inlineStr">
        <is>
          <t>yes</t>
        </is>
      </c>
      <c r="I171" s="4" t="inlineStr">
        <is>
          <t>medium</t>
        </is>
      </c>
      <c r="J171" s="4" t="inlineStr">
        <is>
          <t>pending</t>
        </is>
      </c>
      <c r="K171" s="3" t="inlineStr">
        <is>
          <t>Polymer concentration in organic phase: 1% w/v. Particle size: 163.3 ± 2.43 nm. Encapsulation efficiency: 91.4 ± 1.86 %.</t>
        </is>
      </c>
      <c r="L171">
        <f>IF(OR($F171="",$H171="",$I171="",$J171=""),"missing_required","")</f>
        <v/>
      </c>
      <c r="M171">
        <f>IF(COUNTIFS($A:$A,$A171,$D:$D,$D171)&gt;1,"duplicate_id","")</f>
        <v/>
      </c>
    </row>
    <row r="172">
      <c r="A172" t="inlineStr">
        <is>
          <t>WFDTQ4VX</t>
        </is>
      </c>
      <c r="B172" t="inlineStr">
        <is>
          <t>10.1080/10717544.2016.1199605</t>
        </is>
      </c>
      <c r="C172" s="2" t="inlineStr">
        <is>
          <t>Bioavailability enhancement, Caco-2 cells uptake and intestinal transport of orally administered lopinavir-loaded PLGA nanoparticles</t>
        </is>
      </c>
      <c r="D172" t="inlineStr">
        <is>
          <t>Batch 21</t>
        </is>
      </c>
      <c r="E172" s="3" t="inlineStr">
        <is>
          <t>lopinavir</t>
        </is>
      </c>
      <c r="F172" s="4" t="inlineStr">
        <is>
          <t>text_described</t>
        </is>
      </c>
      <c r="G172" s="3" t="inlineStr">
        <is>
          <t>fulltext</t>
        </is>
      </c>
      <c r="H172" s="4" t="inlineStr">
        <is>
          <t>yes</t>
        </is>
      </c>
      <c r="I172" s="4" t="inlineStr">
        <is>
          <t>medium</t>
        </is>
      </c>
      <c r="J172" s="4" t="inlineStr">
        <is>
          <t>pending</t>
        </is>
      </c>
      <c r="K172" s="3" t="inlineStr">
        <is>
          <t>Polymer concentration in organic phase: 1% w/v. Particle size: 175.5 ± 3.57 nm. Encapsulation efficiency: 87.6 ± 1.76 %.</t>
        </is>
      </c>
      <c r="L172">
        <f>IF(OR($F172="",$H172="",$I172="",$J172=""),"missing_required","")</f>
        <v/>
      </c>
      <c r="M172">
        <f>IF(COUNTIFS($A:$A,$A172,$D:$D,$D172)&gt;1,"duplicate_id","")</f>
        <v/>
      </c>
    </row>
    <row r="173">
      <c r="A173" t="inlineStr">
        <is>
          <t>WFDTQ4VX</t>
        </is>
      </c>
      <c r="B173" t="inlineStr">
        <is>
          <t>10.1080/10717544.2016.1199605</t>
        </is>
      </c>
      <c r="C173" s="2" t="inlineStr">
        <is>
          <t>Bioavailability enhancement, Caco-2 cells uptake and intestinal transport of orally administered lopinavir-loaded PLGA nanoparticles</t>
        </is>
      </c>
      <c r="D173" t="inlineStr">
        <is>
          <t>Batch 22</t>
        </is>
      </c>
      <c r="E173" s="3" t="inlineStr">
        <is>
          <t>lopinavir</t>
        </is>
      </c>
      <c r="F173" s="4" t="inlineStr">
        <is>
          <t>text_described</t>
        </is>
      </c>
      <c r="G173" s="3" t="inlineStr">
        <is>
          <t>fulltext</t>
        </is>
      </c>
      <c r="H173" s="4" t="inlineStr">
        <is>
          <t>yes</t>
        </is>
      </c>
      <c r="I173" s="4" t="inlineStr">
        <is>
          <t>medium</t>
        </is>
      </c>
      <c r="J173" s="4" t="inlineStr">
        <is>
          <t>pending</t>
        </is>
      </c>
      <c r="K173" s="3" t="inlineStr">
        <is>
          <t>Polymer concentration in organic phase: 2% w/v. Particle size: 214.8 ± 3.89 nm. Encapsulation efficiency: 95.7 ± 2.43 %.</t>
        </is>
      </c>
      <c r="L173">
        <f>IF(OR($F173="",$H173="",$I173="",$J173=""),"missing_required","")</f>
        <v/>
      </c>
      <c r="M173">
        <f>IF(COUNTIFS($A:$A,$A173,$D:$D,$D173)&gt;1,"duplicate_id","")</f>
        <v/>
      </c>
    </row>
    <row r="174">
      <c r="A174" t="inlineStr">
        <is>
          <t>WFDTQ4VX</t>
        </is>
      </c>
      <c r="B174" t="inlineStr">
        <is>
          <t>10.1080/10717544.2016.1199605</t>
        </is>
      </c>
      <c r="C174" s="2" t="inlineStr">
        <is>
          <t>Bioavailability enhancement, Caco-2 cells uptake and intestinal transport of orally administered lopinavir-loaded PLGA nanoparticles</t>
        </is>
      </c>
      <c r="D174" t="inlineStr">
        <is>
          <t>Batch 23</t>
        </is>
      </c>
      <c r="E174" s="3" t="inlineStr">
        <is>
          <t>lopinavir</t>
        </is>
      </c>
      <c r="F174" s="4" t="inlineStr">
        <is>
          <t>text_described</t>
        </is>
      </c>
      <c r="G174" s="3" t="inlineStr">
        <is>
          <t>fulltext</t>
        </is>
      </c>
      <c r="H174" s="4" t="inlineStr">
        <is>
          <t>yes</t>
        </is>
      </c>
      <c r="I174" s="4" t="inlineStr">
        <is>
          <t>medium</t>
        </is>
      </c>
      <c r="J174" s="4" t="inlineStr">
        <is>
          <t>pending</t>
        </is>
      </c>
      <c r="K174" s="3" t="inlineStr">
        <is>
          <t>Polymer concentration in organic phase: 2% w/v. Particle size: 231.3 ± 2.59 nm. Encapsulation efficiency: 91.4 ± 1.67 %.</t>
        </is>
      </c>
      <c r="L174">
        <f>IF(OR($F174="",$H174="",$I174="",$J174=""),"missing_required","")</f>
        <v/>
      </c>
      <c r="M174">
        <f>IF(COUNTIFS($A:$A,$A174,$D:$D,$D174)&gt;1,"duplicate_id","")</f>
        <v/>
      </c>
    </row>
    <row r="175">
      <c r="A175" t="inlineStr">
        <is>
          <t>WFDTQ4VX</t>
        </is>
      </c>
      <c r="B175" t="inlineStr">
        <is>
          <t>10.1080/10717544.2016.1199605</t>
        </is>
      </c>
      <c r="C175" s="2" t="inlineStr">
        <is>
          <t>Bioavailability enhancement, Caco-2 cells uptake and intestinal transport of orally administered lopinavir-loaded PLGA nanoparticles</t>
        </is>
      </c>
      <c r="D175" t="inlineStr">
        <is>
          <t>Batch 24</t>
        </is>
      </c>
      <c r="E175" s="3" t="inlineStr">
        <is>
          <t>lopinavir</t>
        </is>
      </c>
      <c r="F175" s="4" t="inlineStr">
        <is>
          <t>text_described</t>
        </is>
      </c>
      <c r="G175" s="3" t="inlineStr">
        <is>
          <t>fulltext</t>
        </is>
      </c>
      <c r="H175" s="4" t="inlineStr">
        <is>
          <t>yes</t>
        </is>
      </c>
      <c r="I175" s="4" t="inlineStr">
        <is>
          <t>medium</t>
        </is>
      </c>
      <c r="J175" s="4" t="inlineStr">
        <is>
          <t>pending</t>
        </is>
      </c>
      <c r="K175" s="3" t="inlineStr">
        <is>
          <t>Polymer concentration in organic phase: 2% w/v. Particle size: 233.6 ± 1.73 nm. Encapsulation efficiency: 75.3 ± 2.38 %.</t>
        </is>
      </c>
      <c r="L175">
        <f>IF(OR($F175="",$H175="",$I175="",$J175=""),"missing_required","")</f>
        <v/>
      </c>
      <c r="M175">
        <f>IF(COUNTIFS($A:$A,$A175,$D:$D,$D175)&gt;1,"duplicate_id","")</f>
        <v/>
      </c>
    </row>
    <row r="176">
      <c r="A176" t="inlineStr">
        <is>
          <t>WFDTQ4VX</t>
        </is>
      </c>
      <c r="B176" t="inlineStr">
        <is>
          <t>10.1080/10717544.2016.1199605</t>
        </is>
      </c>
      <c r="C176" s="2" t="inlineStr">
        <is>
          <t>Bioavailability enhancement, Caco-2 cells uptake and intestinal transport of orally administered lopinavir-loaded PLGA nanoparticles</t>
        </is>
      </c>
      <c r="D176" t="inlineStr">
        <is>
          <t>Batch 25</t>
        </is>
      </c>
      <c r="E176" s="3" t="inlineStr">
        <is>
          <t>lopinavir</t>
        </is>
      </c>
      <c r="F176" s="4" t="inlineStr">
        <is>
          <t>text_described</t>
        </is>
      </c>
      <c r="G176" s="3" t="inlineStr">
        <is>
          <t>fulltext</t>
        </is>
      </c>
      <c r="H176" s="4" t="inlineStr">
        <is>
          <t>yes</t>
        </is>
      </c>
      <c r="I176" s="4" t="inlineStr">
        <is>
          <t>medium</t>
        </is>
      </c>
      <c r="J176" s="4" t="inlineStr">
        <is>
          <t>pending</t>
        </is>
      </c>
      <c r="K176" s="3" t="inlineStr">
        <is>
          <t>Polymer concentration in organic phase: 3% w/v. Particle size: 207.4 ± 2.75 nm. Encapsulation efficiency: 93.8 ± 1.26 %.</t>
        </is>
      </c>
      <c r="L176">
        <f>IF(OR($F176="",$H176="",$I176="",$J176=""),"missing_required","")</f>
        <v/>
      </c>
      <c r="M176">
        <f>IF(COUNTIFS($A:$A,$A176,$D:$D,$D176)&gt;1,"duplicate_id","")</f>
        <v/>
      </c>
    </row>
    <row r="177">
      <c r="A177" t="inlineStr">
        <is>
          <t>WFDTQ4VX</t>
        </is>
      </c>
      <c r="B177" t="inlineStr">
        <is>
          <t>10.1080/10717544.2016.1199605</t>
        </is>
      </c>
      <c r="C177" s="2" t="inlineStr">
        <is>
          <t>Bioavailability enhancement, Caco-2 cells uptake and intestinal transport of orally administered lopinavir-loaded PLGA nanoparticles</t>
        </is>
      </c>
      <c r="D177" t="inlineStr">
        <is>
          <t>Batch 26</t>
        </is>
      </c>
      <c r="E177" s="3" t="inlineStr">
        <is>
          <t>lopinavir</t>
        </is>
      </c>
      <c r="F177" s="4" t="inlineStr">
        <is>
          <t>text_described</t>
        </is>
      </c>
      <c r="G177" s="3" t="inlineStr">
        <is>
          <t>fulltext</t>
        </is>
      </c>
      <c r="H177" s="4" t="inlineStr">
        <is>
          <t>yes</t>
        </is>
      </c>
      <c r="I177" s="4" t="inlineStr">
        <is>
          <t>medium</t>
        </is>
      </c>
      <c r="J177" s="4" t="inlineStr">
        <is>
          <t>pending</t>
        </is>
      </c>
      <c r="K177" s="3" t="inlineStr">
        <is>
          <t>Polymer concentration in organic phase: 3% w/v. Particle size: 237.1 ± 1.37 nm. Encapsulation efficiency: 85.1 ± 2.76 %.</t>
        </is>
      </c>
      <c r="L177">
        <f>IF(OR($F177="",$H177="",$I177="",$J177=""),"missing_required","")</f>
        <v/>
      </c>
      <c r="M177">
        <f>IF(COUNTIFS($A:$A,$A177,$D:$D,$D177)&gt;1,"duplicate_id","")</f>
        <v/>
      </c>
    </row>
    <row r="178">
      <c r="A178" t="inlineStr">
        <is>
          <t>WFDTQ4VX</t>
        </is>
      </c>
      <c r="B178" t="inlineStr">
        <is>
          <t>10.1080/10717544.2016.1199605</t>
        </is>
      </c>
      <c r="C178" s="2" t="inlineStr">
        <is>
          <t>Bioavailability enhancement, Caco-2 cells uptake and intestinal transport of orally administered lopinavir-loaded PLGA nanoparticles</t>
        </is>
      </c>
      <c r="D178" t="inlineStr">
        <is>
          <t>Batch 27</t>
        </is>
      </c>
      <c r="E178" s="3" t="inlineStr">
        <is>
          <t>lopinavir</t>
        </is>
      </c>
      <c r="F178" s="4" t="inlineStr">
        <is>
          <t>text_described</t>
        </is>
      </c>
      <c r="G178" s="3" t="inlineStr">
        <is>
          <t>fulltext</t>
        </is>
      </c>
      <c r="H178" s="4" t="inlineStr">
        <is>
          <t>yes</t>
        </is>
      </c>
      <c r="I178" s="4" t="inlineStr">
        <is>
          <t>medium</t>
        </is>
      </c>
      <c r="J178" s="4" t="inlineStr">
        <is>
          <t>pending</t>
        </is>
      </c>
      <c r="K178" s="3" t="inlineStr">
        <is>
          <t>Polymer concentration in organic phase: 3% w/v. Particle size: 236.1 ± 3.26 nm. Encapsulation efficiency: 71.1 ± 1.43 %.</t>
        </is>
      </c>
      <c r="L178">
        <f>IF(OR($F178="",$H178="",$I178="",$J178=""),"missing_required","")</f>
        <v/>
      </c>
      <c r="M178">
        <f>IF(COUNTIFS($A:$A,$A178,$D:$D,$D178)&gt;1,"duplicate_id","")</f>
        <v/>
      </c>
    </row>
    <row r="179">
      <c r="A179" t="inlineStr">
        <is>
          <t>WFDTQ4VX</t>
        </is>
      </c>
      <c r="B179" t="inlineStr">
        <is>
          <t>10.1080/10717544.2016.1199605</t>
        </is>
      </c>
      <c r="C179" s="2" t="inlineStr">
        <is>
          <t>Bioavailability enhancement, Caco-2 cells uptake and intestinal transport of orally administered lopinavir-loaded PLGA nanoparticles</t>
        </is>
      </c>
      <c r="D179" t="inlineStr">
        <is>
          <t>Batch 3</t>
        </is>
      </c>
      <c r="E179" s="3" t="inlineStr">
        <is>
          <t>lopinavir</t>
        </is>
      </c>
      <c r="F179" s="4" t="inlineStr">
        <is>
          <t>text_described</t>
        </is>
      </c>
      <c r="G179" s="3" t="inlineStr">
        <is>
          <t>fulltext</t>
        </is>
      </c>
      <c r="H179" s="4" t="inlineStr">
        <is>
          <t>yes</t>
        </is>
      </c>
      <c r="I179" s="4" t="inlineStr">
        <is>
          <t>medium</t>
        </is>
      </c>
      <c r="J179" s="4" t="inlineStr">
        <is>
          <t>pending</t>
        </is>
      </c>
      <c r="K179" s="3" t="inlineStr">
        <is>
          <t>Polymer concentration in organic phase: 1% w/v. Particle size: 140.8 ± 1.41 nm. Encapsulation efficiency: 21.3 ± 2.28 %.</t>
        </is>
      </c>
      <c r="L179">
        <f>IF(OR($F179="",$H179="",$I179="",$J179=""),"missing_required","")</f>
        <v/>
      </c>
      <c r="M179">
        <f>IF(COUNTIFS($A:$A,$A179,$D:$D,$D179)&gt;1,"duplicate_id","")</f>
        <v/>
      </c>
    </row>
    <row r="180">
      <c r="A180" t="inlineStr">
        <is>
          <t>WFDTQ4VX</t>
        </is>
      </c>
      <c r="B180" t="inlineStr">
        <is>
          <t>10.1080/10717544.2016.1199605</t>
        </is>
      </c>
      <c r="C180" s="2" t="inlineStr">
        <is>
          <t>Bioavailability enhancement, Caco-2 cells uptake and intestinal transport of orally administered lopinavir-loaded PLGA nanoparticles</t>
        </is>
      </c>
      <c r="D180" t="inlineStr">
        <is>
          <t>Batch 4</t>
        </is>
      </c>
      <c r="E180" s="3" t="inlineStr">
        <is>
          <t>lopinavir</t>
        </is>
      </c>
      <c r="F180" s="4" t="inlineStr">
        <is>
          <t>text_described</t>
        </is>
      </c>
      <c r="G180" s="3" t="inlineStr">
        <is>
          <t>fulltext</t>
        </is>
      </c>
      <c r="H180" s="4" t="inlineStr">
        <is>
          <t>yes</t>
        </is>
      </c>
      <c r="I180" s="4" t="inlineStr">
        <is>
          <t>medium</t>
        </is>
      </c>
      <c r="J180" s="4" t="inlineStr">
        <is>
          <t>pending</t>
        </is>
      </c>
      <c r="K180" s="3" t="inlineStr">
        <is>
          <t>Polymer concentration in organic phase: 2% w/v. Particle size: 127.3 ± 2.68 nm. Encapsulation efficiency: 50.9 ± 1.86 %.</t>
        </is>
      </c>
      <c r="L180">
        <f>IF(OR($F180="",$H180="",$I180="",$J180=""),"missing_required","")</f>
        <v/>
      </c>
      <c r="M180">
        <f>IF(COUNTIFS($A:$A,$A180,$D:$D,$D180)&gt;1,"duplicate_id","")</f>
        <v/>
      </c>
    </row>
    <row r="181">
      <c r="A181" t="inlineStr">
        <is>
          <t>WFDTQ4VX</t>
        </is>
      </c>
      <c r="B181" t="inlineStr">
        <is>
          <t>10.1080/10717544.2016.1199605</t>
        </is>
      </c>
      <c r="C181" s="2" t="inlineStr">
        <is>
          <t>Bioavailability enhancement, Caco-2 cells uptake and intestinal transport of orally administered lopinavir-loaded PLGA nanoparticles</t>
        </is>
      </c>
      <c r="D181" t="inlineStr">
        <is>
          <t>Batch 5</t>
        </is>
      </c>
      <c r="E181" s="3" t="inlineStr">
        <is>
          <t>lopinavir</t>
        </is>
      </c>
      <c r="F181" s="4" t="inlineStr">
        <is>
          <t>text_described</t>
        </is>
      </c>
      <c r="G181" s="3" t="inlineStr">
        <is>
          <t>fulltext</t>
        </is>
      </c>
      <c r="H181" s="4" t="inlineStr">
        <is>
          <t>yes</t>
        </is>
      </c>
      <c r="I181" s="4" t="inlineStr">
        <is>
          <t>medium</t>
        </is>
      </c>
      <c r="J181" s="4" t="inlineStr">
        <is>
          <t>pending</t>
        </is>
      </c>
      <c r="K181" s="3" t="inlineStr">
        <is>
          <t>Polymer concentration in organic phase: 2% w/v. Particle size: 136.3 ± 4.53 nm. Encapsulation efficiency: 48.7 ± 2.34 %.</t>
        </is>
      </c>
      <c r="L181">
        <f>IF(OR($F181="",$H181="",$I181="",$J181=""),"missing_required","")</f>
        <v/>
      </c>
      <c r="M181">
        <f>IF(COUNTIFS($A:$A,$A181,$D:$D,$D181)&gt;1,"duplicate_id","")</f>
        <v/>
      </c>
    </row>
    <row r="182">
      <c r="A182" t="inlineStr">
        <is>
          <t>WFDTQ4VX</t>
        </is>
      </c>
      <c r="B182" t="inlineStr">
        <is>
          <t>10.1080/10717544.2016.1199605</t>
        </is>
      </c>
      <c r="C182" s="2" t="inlineStr">
        <is>
          <t>Bioavailability enhancement, Caco-2 cells uptake and intestinal transport of orally administered lopinavir-loaded PLGA nanoparticles</t>
        </is>
      </c>
      <c r="D182" t="inlineStr">
        <is>
          <t>Batch 6</t>
        </is>
      </c>
      <c r="E182" s="3" t="inlineStr">
        <is>
          <t>lopinavir</t>
        </is>
      </c>
      <c r="F182" s="4" t="inlineStr">
        <is>
          <t>text_described</t>
        </is>
      </c>
      <c r="G182" s="3" t="inlineStr">
        <is>
          <t>fulltext</t>
        </is>
      </c>
      <c r="H182" s="4" t="inlineStr">
        <is>
          <t>yes</t>
        </is>
      </c>
      <c r="I182" s="4" t="inlineStr">
        <is>
          <t>medium</t>
        </is>
      </c>
      <c r="J182" s="4" t="inlineStr">
        <is>
          <t>pending</t>
        </is>
      </c>
      <c r="K182" s="3" t="inlineStr">
        <is>
          <t>Polymer concentration in organic phase: 2% w/v. Particle size: 139.7 ± 2.68 nm. Encapsulation efficiency: 38.2 ± 2.43 %.</t>
        </is>
      </c>
      <c r="L182">
        <f>IF(OR($F182="",$H182="",$I182="",$J182=""),"missing_required","")</f>
        <v/>
      </c>
      <c r="M182">
        <f>IF(COUNTIFS($A:$A,$A182,$D:$D,$D182)&gt;1,"duplicate_id","")</f>
        <v/>
      </c>
    </row>
    <row r="183">
      <c r="A183" t="inlineStr">
        <is>
          <t>WFDTQ4VX</t>
        </is>
      </c>
      <c r="B183" t="inlineStr">
        <is>
          <t>10.1080/10717544.2016.1199605</t>
        </is>
      </c>
      <c r="C183" s="2" t="inlineStr">
        <is>
          <t>Bioavailability enhancement, Caco-2 cells uptake and intestinal transport of orally administered lopinavir-loaded PLGA nanoparticles</t>
        </is>
      </c>
      <c r="D183" t="inlineStr">
        <is>
          <t>Batch 7</t>
        </is>
      </c>
      <c r="E183" s="3" t="inlineStr">
        <is>
          <t>lopinavir</t>
        </is>
      </c>
      <c r="F183" s="4" t="inlineStr">
        <is>
          <t>text_described</t>
        </is>
      </c>
      <c r="G183" s="3" t="inlineStr">
        <is>
          <t>fulltext</t>
        </is>
      </c>
      <c r="H183" s="4" t="inlineStr">
        <is>
          <t>yes</t>
        </is>
      </c>
      <c r="I183" s="4" t="inlineStr">
        <is>
          <t>medium</t>
        </is>
      </c>
      <c r="J183" s="4" t="inlineStr">
        <is>
          <t>pending</t>
        </is>
      </c>
      <c r="K183" s="3" t="inlineStr">
        <is>
          <t>Polymer concentration in organic phase: 3% w/v. Particle size: 159.7 ± 3.72 nm. Encapsulation efficiency: 51.1 ± 1.49 %.</t>
        </is>
      </c>
      <c r="L183">
        <f>IF(OR($F183="",$H183="",$I183="",$J183=""),"missing_required","")</f>
        <v/>
      </c>
      <c r="M183">
        <f>IF(COUNTIFS($A:$A,$A183,$D:$D,$D183)&gt;1,"duplicate_id","")</f>
        <v/>
      </c>
    </row>
    <row r="184">
      <c r="A184" t="inlineStr">
        <is>
          <t>WFDTQ4VX</t>
        </is>
      </c>
      <c r="B184" t="inlineStr">
        <is>
          <t>10.1080/10717544.2016.1199605</t>
        </is>
      </c>
      <c r="C184" s="2" t="inlineStr">
        <is>
          <t>Bioavailability enhancement, Caco-2 cells uptake and intestinal transport of orally administered lopinavir-loaded PLGA nanoparticles</t>
        </is>
      </c>
      <c r="D184" t="inlineStr">
        <is>
          <t>Batch 8</t>
        </is>
      </c>
      <c r="E184" s="3" t="inlineStr">
        <is>
          <t>lopinavir</t>
        </is>
      </c>
      <c r="F184" s="4" t="inlineStr">
        <is>
          <t>text_described</t>
        </is>
      </c>
      <c r="G184" s="3" t="inlineStr">
        <is>
          <t>fulltext</t>
        </is>
      </c>
      <c r="H184" s="4" t="inlineStr">
        <is>
          <t>yes</t>
        </is>
      </c>
      <c r="I184" s="4" t="inlineStr">
        <is>
          <t>medium</t>
        </is>
      </c>
      <c r="J184" s="4" t="inlineStr">
        <is>
          <t>pending</t>
        </is>
      </c>
      <c r="K184" s="3" t="inlineStr">
        <is>
          <t>Polymer concentration in organic phase: 3% w/v. Particle size: 163.5 ± 3.91 nm. Encapsulation efficiency: 57.3 ± 1.19 %.</t>
        </is>
      </c>
      <c r="L184">
        <f>IF(OR($F184="",$H184="",$I184="",$J184=""),"missing_required","")</f>
        <v/>
      </c>
      <c r="M184">
        <f>IF(COUNTIFS($A:$A,$A184,$D:$D,$D184)&gt;1,"duplicate_id","")</f>
        <v/>
      </c>
    </row>
    <row r="185">
      <c r="A185" t="inlineStr">
        <is>
          <t>WFDTQ4VX</t>
        </is>
      </c>
      <c r="B185" t="inlineStr">
        <is>
          <t>10.1080/10717544.2016.1199605</t>
        </is>
      </c>
      <c r="C185" s="2" t="inlineStr">
        <is>
          <t>Bioavailability enhancement, Caco-2 cells uptake and intestinal transport of orally administered lopinavir-loaded PLGA nanoparticles</t>
        </is>
      </c>
      <c r="D185" t="inlineStr">
        <is>
          <t>Batch 9</t>
        </is>
      </c>
      <c r="E185" s="3" t="inlineStr">
        <is>
          <t>lopinavir</t>
        </is>
      </c>
      <c r="F185" s="4" t="inlineStr">
        <is>
          <t>text_described</t>
        </is>
      </c>
      <c r="G185" s="3" t="inlineStr">
        <is>
          <t>fulltext</t>
        </is>
      </c>
      <c r="H185" s="4" t="inlineStr">
        <is>
          <t>yes</t>
        </is>
      </c>
      <c r="I185" s="4" t="inlineStr">
        <is>
          <t>medium</t>
        </is>
      </c>
      <c r="J185" s="4" t="inlineStr">
        <is>
          <t>pending</t>
        </is>
      </c>
      <c r="K185" s="3" t="inlineStr">
        <is>
          <t>Polymer concentration in organic phase: 3% w/v. Particle size: 176.9 ± 1.69 nm. Encapsulation efficiency: 40.3 ± 0.71 %.</t>
        </is>
      </c>
      <c r="L185">
        <f>IF(OR($F185="",$H185="",$I185="",$J185=""),"missing_required","")</f>
        <v/>
      </c>
      <c r="M185">
        <f>IF(COUNTIFS($A:$A,$A185,$D:$D,$D185)&gt;1,"duplicate_id","")</f>
        <v/>
      </c>
    </row>
    <row r="186">
      <c r="A186" t="inlineStr">
        <is>
          <t>WIVUCMYG</t>
        </is>
      </c>
      <c r="B186" t="inlineStr">
        <is>
          <t>10.1002/jps.24101</t>
        </is>
      </c>
      <c r="C186" s="2" t="inlineStr">
        <is>
          <t>Design of Nanosuspensions and Freeze-Dried PLGA Nanoparticles as a Novel Approach for Ophthalmic Delivery of Pranoprofen</t>
        </is>
      </c>
      <c r="D186" t="inlineStr">
        <is>
          <t>F1</t>
        </is>
      </c>
      <c r="E186" s="3" t="inlineStr">
        <is>
          <t>Pranoprofen</t>
        </is>
      </c>
      <c r="F186" s="4" t="inlineStr">
        <is>
          <t>text_described</t>
        </is>
      </c>
      <c r="G186" s="3" t="inlineStr">
        <is>
          <t>fulltext</t>
        </is>
      </c>
      <c r="H186" s="4" t="inlineStr">
        <is>
          <t>yes</t>
        </is>
      </c>
      <c r="I186" s="4" t="inlineStr">
        <is>
          <t>medium</t>
        </is>
      </c>
      <c r="J186" s="4" t="inlineStr">
        <is>
          <t>pending</t>
        </is>
      </c>
      <c r="K186" s="3" t="inlineStr">
        <is>
          <t>Aqueous phase pH: 3.50. PLGA feed concentration: 8.50 mg/mL. Mean Size SD: 8.05, PDI SD: 0.02, Zeta Potential SD: 0.71, Entrapment Efficiency SD: 0.13.</t>
        </is>
      </c>
      <c r="L186">
        <f>IF(OR($F186="",$H186="",$I186="",$J186=""),"missing_required","")</f>
        <v/>
      </c>
      <c r="M186">
        <f>IF(COUNTIFS($A:$A,$A186,$D:$D,$D186)&gt;1,"duplicate_id","")</f>
        <v/>
      </c>
    </row>
    <row r="187">
      <c r="A187" t="inlineStr">
        <is>
          <t>WIVUCMYG</t>
        </is>
      </c>
      <c r="B187" t="inlineStr">
        <is>
          <t>10.1002/jps.24101</t>
        </is>
      </c>
      <c r="C187" s="2" t="inlineStr">
        <is>
          <t>Design of Nanosuspensions and Freeze-Dried PLGA Nanoparticles as a Novel Approach for Ophthalmic Delivery of Pranoprofen</t>
        </is>
      </c>
      <c r="D187" t="inlineStr">
        <is>
          <t>F10</t>
        </is>
      </c>
      <c r="E187" s="3" t="inlineStr">
        <is>
          <t>Pranoprofen</t>
        </is>
      </c>
      <c r="F187" s="4" t="inlineStr">
        <is>
          <t>text_described</t>
        </is>
      </c>
      <c r="G187" s="3" t="inlineStr">
        <is>
          <t>fulltext</t>
        </is>
      </c>
      <c r="H187" s="4" t="inlineStr">
        <is>
          <t>yes</t>
        </is>
      </c>
      <c r="I187" s="4" t="inlineStr">
        <is>
          <t>medium</t>
        </is>
      </c>
      <c r="J187" s="4" t="inlineStr">
        <is>
          <t>pending</t>
        </is>
      </c>
      <c r="K187" s="3" t="inlineStr">
        <is>
          <t>Aqueous phase pH: 5.50. PLGA feed concentration: 9.50 mg/mL. Mean Size SD: 1.50, PDI SD: 0.03, Zeta Potential SD: 0.15, Entrapment Efficiency SD: 0.62.</t>
        </is>
      </c>
      <c r="L187">
        <f>IF(OR($F187="",$H187="",$I187="",$J187=""),"missing_required","")</f>
        <v/>
      </c>
      <c r="M187">
        <f>IF(COUNTIFS($A:$A,$A187,$D:$D,$D187)&gt;1,"duplicate_id","")</f>
        <v/>
      </c>
    </row>
    <row r="188">
      <c r="A188" t="inlineStr">
        <is>
          <t>WIVUCMYG</t>
        </is>
      </c>
      <c r="B188" t="inlineStr">
        <is>
          <t>10.1002/jps.24101</t>
        </is>
      </c>
      <c r="C188" s="2" t="inlineStr">
        <is>
          <t>Design of Nanosuspensions and Freeze-Dried PLGA Nanoparticles as a Novel Approach for Ophthalmic Delivery of Pranoprofen</t>
        </is>
      </c>
      <c r="D188" t="inlineStr">
        <is>
          <t>F11</t>
        </is>
      </c>
      <c r="E188" s="3" t="inlineStr">
        <is>
          <t>Pranoprofen</t>
        </is>
      </c>
      <c r="F188" s="4" t="inlineStr">
        <is>
          <t>text_described</t>
        </is>
      </c>
      <c r="G188" s="3" t="inlineStr">
        <is>
          <t>fulltext</t>
        </is>
      </c>
      <c r="H188" s="4" t="inlineStr">
        <is>
          <t>yes</t>
        </is>
      </c>
      <c r="I188" s="4" t="inlineStr">
        <is>
          <t>medium</t>
        </is>
      </c>
      <c r="J188" s="4" t="inlineStr">
        <is>
          <t>pending</t>
        </is>
      </c>
      <c r="K188" s="3" t="inlineStr">
        <is>
          <t>Aqueous phase pH: 5.50. PLGA feed concentration: 9.50 mg/mL. Mean Size SD: 4.03, PDI SD: 0.01, Zeta Potential SD: 0.56, Entrapment Efficiency SD: 1.33.</t>
        </is>
      </c>
      <c r="L188">
        <f>IF(OR($F188="",$H188="",$I188="",$J188=""),"missing_required","")</f>
        <v/>
      </c>
      <c r="M188">
        <f>IF(COUNTIFS($A:$A,$A188,$D:$D,$D188)&gt;1,"duplicate_id","")</f>
        <v/>
      </c>
    </row>
    <row r="189">
      <c r="A189" t="inlineStr">
        <is>
          <t>WIVUCMYG</t>
        </is>
      </c>
      <c r="B189" t="inlineStr">
        <is>
          <t>10.1002/jps.24101</t>
        </is>
      </c>
      <c r="C189" s="2" t="inlineStr">
        <is>
          <t>Design of Nanosuspensions and Freeze-Dried PLGA Nanoparticles as a Novel Approach for Ophthalmic Delivery of Pranoprofen</t>
        </is>
      </c>
      <c r="D189" t="inlineStr">
        <is>
          <t>F11_FD</t>
        </is>
      </c>
      <c r="E189" s="3" t="inlineStr">
        <is>
          <t>Pranoprofen</t>
        </is>
      </c>
      <c r="F189" s="4" t="inlineStr">
        <is>
          <t>text_described</t>
        </is>
      </c>
      <c r="G189" s="3" t="inlineStr">
        <is>
          <t>fulltext</t>
        </is>
      </c>
      <c r="H189" s="4" t="inlineStr">
        <is>
          <t>yes</t>
        </is>
      </c>
      <c r="I189" s="4" t="inlineStr">
        <is>
          <t>medium</t>
        </is>
      </c>
      <c r="J189" s="4" t="inlineStr">
        <is>
          <t>pending</t>
        </is>
      </c>
      <c r="K189" s="3" t="inlineStr">
        <is>
          <t>Aqueous phase pH: 5.50. PLGA feed concentration: 9.50 mg/mL. After freeze-drying. Mean Size SD: 0.98, PDI SD: 0.02, Zeta Potential SD: 0.62.</t>
        </is>
      </c>
      <c r="L189">
        <f>IF(OR($F189="",$H189="",$I189="",$J189=""),"missing_required","")</f>
        <v/>
      </c>
      <c r="M189">
        <f>IF(COUNTIFS($A:$A,$A189,$D:$D,$D189)&gt;1,"duplicate_id","")</f>
        <v/>
      </c>
    </row>
    <row r="190">
      <c r="A190" t="inlineStr">
        <is>
          <t>WIVUCMYG</t>
        </is>
      </c>
      <c r="B190" t="inlineStr">
        <is>
          <t>10.1002/jps.24101</t>
        </is>
      </c>
      <c r="C190" s="2" t="inlineStr">
        <is>
          <t>Design of Nanosuspensions and Freeze-Dried PLGA Nanoparticles as a Novel Approach for Ophthalmic Delivery of Pranoprofen</t>
        </is>
      </c>
      <c r="D190" t="inlineStr">
        <is>
          <t>F12</t>
        </is>
      </c>
      <c r="E190" s="3" t="inlineStr">
        <is>
          <t>Pranoprofen</t>
        </is>
      </c>
      <c r="F190" s="4" t="inlineStr">
        <is>
          <t>text_described</t>
        </is>
      </c>
      <c r="G190" s="3" t="inlineStr">
        <is>
          <t>fulltext</t>
        </is>
      </c>
      <c r="H190" s="4" t="inlineStr">
        <is>
          <t>yes</t>
        </is>
      </c>
      <c r="I190" s="4" t="inlineStr">
        <is>
          <t>medium</t>
        </is>
      </c>
      <c r="J190" s="4" t="inlineStr">
        <is>
          <t>pending</t>
        </is>
      </c>
      <c r="K190" s="3" t="inlineStr">
        <is>
          <t>Aqueous phase pH: 5.50. PLGA feed concentration: 9.50 mg/mL. Mean Size SD: 5.75, PDI SD: 0.02, Zeta Potential SD: 0.31, Entrapment Efficiency SD: 2.18.</t>
        </is>
      </c>
      <c r="L190">
        <f>IF(OR($F190="",$H190="",$I190="",$J190=""),"missing_required","")</f>
        <v/>
      </c>
      <c r="M190">
        <f>IF(COUNTIFS($A:$A,$A190,$D:$D,$D190)&gt;1,"duplicate_id","")</f>
        <v/>
      </c>
    </row>
    <row r="191">
      <c r="A191" t="inlineStr">
        <is>
          <t>WIVUCMYG</t>
        </is>
      </c>
      <c r="B191" t="inlineStr">
        <is>
          <t>10.1002/jps.24101</t>
        </is>
      </c>
      <c r="C191" s="2" t="inlineStr">
        <is>
          <t>Design of Nanosuspensions and Freeze-Dried PLGA Nanoparticles as a Novel Approach for Ophthalmic Delivery of Pranoprofen</t>
        </is>
      </c>
      <c r="D191" t="inlineStr">
        <is>
          <t>F13</t>
        </is>
      </c>
      <c r="E191" s="3" t="inlineStr">
        <is>
          <t>Pranoprofen</t>
        </is>
      </c>
      <c r="F191" s="4" t="inlineStr">
        <is>
          <t>text_described</t>
        </is>
      </c>
      <c r="G191" s="3" t="inlineStr">
        <is>
          <t>fulltext</t>
        </is>
      </c>
      <c r="H191" s="4" t="inlineStr">
        <is>
          <t>yes</t>
        </is>
      </c>
      <c r="I191" s="4" t="inlineStr">
        <is>
          <t>medium</t>
        </is>
      </c>
      <c r="J191" s="4" t="inlineStr">
        <is>
          <t>pending</t>
        </is>
      </c>
      <c r="K191" s="3" t="inlineStr">
        <is>
          <t>Aqueous phase pH: 5.50. PLGA feed concentration: 8.50 mg/mL. Mean Size SD: 4.67, PDI SD: 0.01, Zeta Potential SD: 0.15, Entrapment Efficiency SD: 0.23.</t>
        </is>
      </c>
      <c r="L191">
        <f>IF(OR($F191="",$H191="",$I191="",$J191=""),"missing_required","")</f>
        <v/>
      </c>
      <c r="M191">
        <f>IF(COUNTIFS($A:$A,$A191,$D:$D,$D191)&gt;1,"duplicate_id","")</f>
        <v/>
      </c>
    </row>
    <row r="192">
      <c r="A192" t="inlineStr">
        <is>
          <t>WIVUCMYG</t>
        </is>
      </c>
      <c r="B192" t="inlineStr">
        <is>
          <t>10.1002/jps.24101</t>
        </is>
      </c>
      <c r="C192" s="2" t="inlineStr">
        <is>
          <t>Design of Nanosuspensions and Freeze-Dried PLGA Nanoparticles as a Novel Approach for Ophthalmic Delivery of Pranoprofen</t>
        </is>
      </c>
      <c r="D192" t="inlineStr">
        <is>
          <t>F14</t>
        </is>
      </c>
      <c r="E192" s="3" t="inlineStr">
        <is>
          <t>Pranoprofen</t>
        </is>
      </c>
      <c r="F192" s="4" t="inlineStr">
        <is>
          <t>text_described</t>
        </is>
      </c>
      <c r="G192" s="3" t="inlineStr">
        <is>
          <t>fulltext</t>
        </is>
      </c>
      <c r="H192" s="4" t="inlineStr">
        <is>
          <t>yes</t>
        </is>
      </c>
      <c r="I192" s="4" t="inlineStr">
        <is>
          <t>medium</t>
        </is>
      </c>
      <c r="J192" s="4" t="inlineStr">
        <is>
          <t>pending</t>
        </is>
      </c>
      <c r="K192" s="3" t="inlineStr">
        <is>
          <t>Aqueous phase pH: 5.50. PLGA feed concentration: 8.50 mg/mL. Mean Size SD: 3.11, PDI SD: 0.02, Zeta Potential SD: 0.19, Entrapment Efficiency SD: 1.77.</t>
        </is>
      </c>
      <c r="L192">
        <f>IF(OR($F192="",$H192="",$I192="",$J192=""),"missing_required","")</f>
        <v/>
      </c>
      <c r="M192">
        <f>IF(COUNTIFS($A:$A,$A192,$D:$D,$D192)&gt;1,"duplicate_id","")</f>
        <v/>
      </c>
    </row>
    <row r="193">
      <c r="A193" t="inlineStr">
        <is>
          <t>WIVUCMYG</t>
        </is>
      </c>
      <c r="B193" t="inlineStr">
        <is>
          <t>10.1002/jps.24101</t>
        </is>
      </c>
      <c r="C193" s="2" t="inlineStr">
        <is>
          <t>Design of Nanosuspensions and Freeze-Dried PLGA Nanoparticles as a Novel Approach for Ophthalmic Delivery of Pranoprofen</t>
        </is>
      </c>
      <c r="D193" t="inlineStr">
        <is>
          <t>F15</t>
        </is>
      </c>
      <c r="E193" s="3" t="inlineStr">
        <is>
          <t>Pranoprofen</t>
        </is>
      </c>
      <c r="F193" s="4" t="inlineStr">
        <is>
          <t>text_described</t>
        </is>
      </c>
      <c r="G193" s="3" t="inlineStr">
        <is>
          <t>fulltext</t>
        </is>
      </c>
      <c r="H193" s="4" t="inlineStr">
        <is>
          <t>yes</t>
        </is>
      </c>
      <c r="I193" s="4" t="inlineStr">
        <is>
          <t>medium</t>
        </is>
      </c>
      <c r="J193" s="4" t="inlineStr">
        <is>
          <t>pending</t>
        </is>
      </c>
      <c r="K193" s="3" t="inlineStr">
        <is>
          <t>Aqueous phase pH: 5.50. PLGA feed concentration: 8.50 mg/mL. Mean Size SD: 1.91, PDI SD: 0.01, Zeta Potential SD: 0.54, Entrapment Efficiency SD: 0.32.</t>
        </is>
      </c>
      <c r="L193">
        <f>IF(OR($F193="",$H193="",$I193="",$J193=""),"missing_required","")</f>
        <v/>
      </c>
      <c r="M193">
        <f>IF(COUNTIFS($A:$A,$A193,$D:$D,$D193)&gt;1,"duplicate_id","")</f>
        <v/>
      </c>
    </row>
    <row r="194">
      <c r="A194" t="inlineStr">
        <is>
          <t>WIVUCMYG</t>
        </is>
      </c>
      <c r="B194" t="inlineStr">
        <is>
          <t>10.1002/jps.24101</t>
        </is>
      </c>
      <c r="C194" s="2" t="inlineStr">
        <is>
          <t>Design of Nanosuspensions and Freeze-Dried PLGA Nanoparticles as a Novel Approach for Ophthalmic Delivery of Pranoprofen</t>
        </is>
      </c>
      <c r="D194" t="inlineStr">
        <is>
          <t>F16</t>
        </is>
      </c>
      <c r="E194" s="3" t="inlineStr">
        <is>
          <t>Pranoprofen</t>
        </is>
      </c>
      <c r="F194" s="4" t="inlineStr">
        <is>
          <t>text_described</t>
        </is>
      </c>
      <c r="G194" s="3" t="inlineStr">
        <is>
          <t>fulltext</t>
        </is>
      </c>
      <c r="H194" s="4" t="inlineStr">
        <is>
          <t>yes</t>
        </is>
      </c>
      <c r="I194" s="4" t="inlineStr">
        <is>
          <t>medium</t>
        </is>
      </c>
      <c r="J194" s="4" t="inlineStr">
        <is>
          <t>pending</t>
        </is>
      </c>
      <c r="K194" s="3" t="inlineStr">
        <is>
          <t>Aqueous phase pH: 5.50. PLGA feed concentration: 8.50 mg/mL. Mean Size SD: 1.25, PDI SD: 0.01, Zeta Potential SD: 0.53, Entrapment Efficiency SD: 1.15.</t>
        </is>
      </c>
      <c r="L194">
        <f>IF(OR($F194="",$H194="",$I194="",$J194=""),"missing_required","")</f>
        <v/>
      </c>
      <c r="M194">
        <f>IF(COUNTIFS($A:$A,$A194,$D:$D,$D194)&gt;1,"duplicate_id","")</f>
        <v/>
      </c>
    </row>
    <row r="195">
      <c r="A195" t="inlineStr">
        <is>
          <t>WIVUCMYG</t>
        </is>
      </c>
      <c r="B195" t="inlineStr">
        <is>
          <t>10.1002/jps.24101</t>
        </is>
      </c>
      <c r="C195" s="2" t="inlineStr">
        <is>
          <t>Design of Nanosuspensions and Freeze-Dried PLGA Nanoparticles as a Novel Approach for Ophthalmic Delivery of Pranoprofen</t>
        </is>
      </c>
      <c r="D195" t="inlineStr">
        <is>
          <t>F17</t>
        </is>
      </c>
      <c r="E195" s="3" t="inlineStr">
        <is>
          <t>Pranoprofen</t>
        </is>
      </c>
      <c r="F195" s="4" t="inlineStr">
        <is>
          <t>text_described</t>
        </is>
      </c>
      <c r="G195" s="3" t="inlineStr">
        <is>
          <t>fulltext</t>
        </is>
      </c>
      <c r="H195" s="4" t="inlineStr">
        <is>
          <t>yes</t>
        </is>
      </c>
      <c r="I195" s="4" t="inlineStr">
        <is>
          <t>medium</t>
        </is>
      </c>
      <c r="J195" s="4" t="inlineStr">
        <is>
          <t>pending</t>
        </is>
      </c>
      <c r="K195" s="3" t="inlineStr">
        <is>
          <t>Aqueous phase pH: 4.50. PLGA feed concentration: 9.00 mg/mL. Mean Size SD: 5.15, PDI SD: 0.01, Zeta Potential SD: 0.14, Entrapment Efficiency SD: 0.52.</t>
        </is>
      </c>
      <c r="L195">
        <f>IF(OR($F195="",$H195="",$I195="",$J195=""),"missing_required","")</f>
        <v/>
      </c>
      <c r="M195">
        <f>IF(COUNTIFS($A:$A,$A195,$D:$D,$D195)&gt;1,"duplicate_id","")</f>
        <v/>
      </c>
    </row>
    <row r="196">
      <c r="A196" t="inlineStr">
        <is>
          <t>WIVUCMYG</t>
        </is>
      </c>
      <c r="B196" t="inlineStr">
        <is>
          <t>10.1002/jps.24101</t>
        </is>
      </c>
      <c r="C196" s="2" t="inlineStr">
        <is>
          <t>Design of Nanosuspensions and Freeze-Dried PLGA Nanoparticles as a Novel Approach for Ophthalmic Delivery of Pranoprofen</t>
        </is>
      </c>
      <c r="D196" t="inlineStr">
        <is>
          <t>F18</t>
        </is>
      </c>
      <c r="E196" s="3" t="inlineStr">
        <is>
          <t>Pranoprofen</t>
        </is>
      </c>
      <c r="F196" s="4" t="inlineStr">
        <is>
          <t>text_described</t>
        </is>
      </c>
      <c r="G196" s="3" t="inlineStr">
        <is>
          <t>fulltext</t>
        </is>
      </c>
      <c r="H196" s="4" t="inlineStr">
        <is>
          <t>yes</t>
        </is>
      </c>
      <c r="I196" s="4" t="inlineStr">
        <is>
          <t>medium</t>
        </is>
      </c>
      <c r="J196" s="4" t="inlineStr">
        <is>
          <t>pending</t>
        </is>
      </c>
      <c r="K196" s="3" t="inlineStr">
        <is>
          <t>Aqueous phase pH: 4.50. PLGA feed concentration: 9.00 mg/mL. Mean Size SD: 2.78, PDI SD: 0.03, Zeta Potential SD: 0.12, Entrapment Efficiency SD: 0.00.</t>
        </is>
      </c>
      <c r="L196">
        <f>IF(OR($F196="",$H196="",$I196="",$J196=""),"missing_required","")</f>
        <v/>
      </c>
      <c r="M196">
        <f>IF(COUNTIFS($A:$A,$A196,$D:$D,$D196)&gt;1,"duplicate_id","")</f>
        <v/>
      </c>
    </row>
    <row r="197">
      <c r="A197" t="inlineStr">
        <is>
          <t>WIVUCMYG</t>
        </is>
      </c>
      <c r="B197" t="inlineStr">
        <is>
          <t>10.1002/jps.24101</t>
        </is>
      </c>
      <c r="C197" s="2" t="inlineStr">
        <is>
          <t>Design of Nanosuspensions and Freeze-Dried PLGA Nanoparticles as a Novel Approach for Ophthalmic Delivery of Pranoprofen</t>
        </is>
      </c>
      <c r="D197" t="inlineStr">
        <is>
          <t>F19</t>
        </is>
      </c>
      <c r="E197" s="3" t="inlineStr">
        <is>
          <t>Pranoprofen</t>
        </is>
      </c>
      <c r="F197" s="4" t="inlineStr">
        <is>
          <t>text_described</t>
        </is>
      </c>
      <c r="G197" s="3" t="inlineStr">
        <is>
          <t>fulltext</t>
        </is>
      </c>
      <c r="H197" s="4" t="inlineStr">
        <is>
          <t>yes</t>
        </is>
      </c>
      <c r="I197" s="4" t="inlineStr">
        <is>
          <t>medium</t>
        </is>
      </c>
      <c r="J197" s="4" t="inlineStr">
        <is>
          <t>pending</t>
        </is>
      </c>
      <c r="K197" s="3" t="inlineStr">
        <is>
          <t>Aqueous phase pH: 4.50. PLGA feed concentration: 9.00 mg/mL. Mean Size SD: 2.65, PDI SD: 0.01, Zeta Potential SD: 0.34, Entrapment Efficiency SD: 1.25.</t>
        </is>
      </c>
      <c r="L197">
        <f>IF(OR($F197="",$H197="",$I197="",$J197=""),"missing_required","")</f>
        <v/>
      </c>
      <c r="M197">
        <f>IF(COUNTIFS($A:$A,$A197,$D:$D,$D197)&gt;1,"duplicate_id","")</f>
        <v/>
      </c>
    </row>
    <row r="198">
      <c r="A198" t="inlineStr">
        <is>
          <t>WIVUCMYG</t>
        </is>
      </c>
      <c r="B198" t="inlineStr">
        <is>
          <t>10.1002/jps.24101</t>
        </is>
      </c>
      <c r="C198" s="2" t="inlineStr">
        <is>
          <t>Design of Nanosuspensions and Freeze-Dried PLGA Nanoparticles as a Novel Approach for Ophthalmic Delivery of Pranoprofen</t>
        </is>
      </c>
      <c r="D198" t="inlineStr">
        <is>
          <t>F19_FD</t>
        </is>
      </c>
      <c r="E198" s="3" t="inlineStr">
        <is>
          <t>Pranoprofen</t>
        </is>
      </c>
      <c r="F198" s="4" t="inlineStr">
        <is>
          <t>text_described</t>
        </is>
      </c>
      <c r="G198" s="3" t="inlineStr">
        <is>
          <t>fulltext</t>
        </is>
      </c>
      <c r="H198" s="4" t="inlineStr">
        <is>
          <t>yes</t>
        </is>
      </c>
      <c r="I198" s="4" t="inlineStr">
        <is>
          <t>medium</t>
        </is>
      </c>
      <c r="J198" s="4" t="inlineStr">
        <is>
          <t>pending</t>
        </is>
      </c>
      <c r="K198" s="3" t="inlineStr">
        <is>
          <t>Aqueous phase pH: 4.50. PLGA feed concentration: 9.00 mg/mL. After freeze-drying. Mean Size SD: 1.32, PDI SD: 0.03, Zeta Potential SD: 0.23.</t>
        </is>
      </c>
      <c r="L198">
        <f>IF(OR($F198="",$H198="",$I198="",$J198=""),"missing_required","")</f>
        <v/>
      </c>
      <c r="M198">
        <f>IF(COUNTIFS($A:$A,$A198,$D:$D,$D198)&gt;1,"duplicate_id","")</f>
        <v/>
      </c>
    </row>
    <row r="199">
      <c r="A199" t="inlineStr">
        <is>
          <t>WIVUCMYG</t>
        </is>
      </c>
      <c r="B199" t="inlineStr">
        <is>
          <t>10.1002/jps.24101</t>
        </is>
      </c>
      <c r="C199" s="2" t="inlineStr">
        <is>
          <t>Design of Nanosuspensions and Freeze-Dried PLGA Nanoparticles as a Novel Approach for Ophthalmic Delivery of Pranoprofen</t>
        </is>
      </c>
      <c r="D199" t="inlineStr">
        <is>
          <t>F2</t>
        </is>
      </c>
      <c r="E199" s="3" t="inlineStr">
        <is>
          <t>Pranoprofen</t>
        </is>
      </c>
      <c r="F199" s="4" t="inlineStr">
        <is>
          <t>text_described</t>
        </is>
      </c>
      <c r="G199" s="3" t="inlineStr">
        <is>
          <t>fulltext</t>
        </is>
      </c>
      <c r="H199" s="4" t="inlineStr">
        <is>
          <t>yes</t>
        </is>
      </c>
      <c r="I199" s="4" t="inlineStr">
        <is>
          <t>medium</t>
        </is>
      </c>
      <c r="J199" s="4" t="inlineStr">
        <is>
          <t>pending</t>
        </is>
      </c>
      <c r="K199" s="3" t="inlineStr">
        <is>
          <t>Aqueous phase pH: 3.50. PLGA feed concentration: 8.50 mg/mL. Mean Size SD: 3.12, PDI SD: 0.01, Zeta Potential SD: 0.32, Entrapment Efficiency SD: 1.18.</t>
        </is>
      </c>
      <c r="L199">
        <f>IF(OR($F199="",$H199="",$I199="",$J199=""),"missing_required","")</f>
        <v/>
      </c>
      <c r="M199">
        <f>IF(COUNTIFS($A:$A,$A199,$D:$D,$D199)&gt;1,"duplicate_id","")</f>
        <v/>
      </c>
    </row>
    <row r="200">
      <c r="A200" t="inlineStr">
        <is>
          <t>WIVUCMYG</t>
        </is>
      </c>
      <c r="B200" t="inlineStr">
        <is>
          <t>10.1002/jps.24101</t>
        </is>
      </c>
      <c r="C200" s="2" t="inlineStr">
        <is>
          <t>Design of Nanosuspensions and Freeze-Dried PLGA Nanoparticles as a Novel Approach for Ophthalmic Delivery of Pranoprofen</t>
        </is>
      </c>
      <c r="D200" t="inlineStr">
        <is>
          <t>F20</t>
        </is>
      </c>
      <c r="E200" s="3" t="inlineStr">
        <is>
          <t>Pranoprofen</t>
        </is>
      </c>
      <c r="F200" s="4" t="inlineStr">
        <is>
          <t>text_described</t>
        </is>
      </c>
      <c r="G200" s="3" t="inlineStr">
        <is>
          <t>fulltext</t>
        </is>
      </c>
      <c r="H200" s="4" t="inlineStr">
        <is>
          <t>yes</t>
        </is>
      </c>
      <c r="I200" s="4" t="inlineStr">
        <is>
          <t>medium</t>
        </is>
      </c>
      <c r="J200" s="4" t="inlineStr">
        <is>
          <t>pending</t>
        </is>
      </c>
      <c r="K200" s="3" t="inlineStr">
        <is>
          <t>Aqueous phase pH: 4.50. PLGA feed concentration: 9.00 mg/mL. Mean Size SD: 2.74, PDI SD: 0.03, Zeta Potential SD: 0.61, Entrapment Efficiency SD: 0.32.</t>
        </is>
      </c>
      <c r="L200">
        <f>IF(OR($F200="",$H200="",$I200="",$J200=""),"missing_required","")</f>
        <v/>
      </c>
      <c r="M200">
        <f>IF(COUNTIFS($A:$A,$A200,$D:$D,$D200)&gt;1,"duplicate_id","")</f>
        <v/>
      </c>
    </row>
    <row r="201">
      <c r="A201" t="inlineStr">
        <is>
          <t>WIVUCMYG</t>
        </is>
      </c>
      <c r="B201" t="inlineStr">
        <is>
          <t>10.1002/jps.24101</t>
        </is>
      </c>
      <c r="C201" s="2" t="inlineStr">
        <is>
          <t>Design of Nanosuspensions and Freeze-Dried PLGA Nanoparticles as a Novel Approach for Ophthalmic Delivery of Pranoprofen</t>
        </is>
      </c>
      <c r="D201" t="inlineStr">
        <is>
          <t>F20_FD</t>
        </is>
      </c>
      <c r="E201" s="3" t="inlineStr">
        <is>
          <t>Pranoprofen</t>
        </is>
      </c>
      <c r="F201" s="4" t="inlineStr">
        <is>
          <t>text_described</t>
        </is>
      </c>
      <c r="G201" s="3" t="inlineStr">
        <is>
          <t>fulltext</t>
        </is>
      </c>
      <c r="H201" s="4" t="inlineStr">
        <is>
          <t>yes</t>
        </is>
      </c>
      <c r="I201" s="4" t="inlineStr">
        <is>
          <t>medium</t>
        </is>
      </c>
      <c r="J201" s="4" t="inlineStr">
        <is>
          <t>pending</t>
        </is>
      </c>
      <c r="K201" s="3" t="inlineStr">
        <is>
          <t>Aqueous phase pH: 4.50. PLGA feed concentration: 9.00 mg/mL. After freeze-drying. Mean Size SD: 1.90, PDI SD: 0.01, Zeta Potential SD: 0.28.</t>
        </is>
      </c>
      <c r="L201">
        <f>IF(OR($F201="",$H201="",$I201="",$J201=""),"missing_required","")</f>
        <v/>
      </c>
      <c r="M201">
        <f>IF(COUNTIFS($A:$A,$A201,$D:$D,$D201)&gt;1,"duplicate_id","")</f>
        <v/>
      </c>
    </row>
    <row r="202">
      <c r="A202" t="inlineStr">
        <is>
          <t>WIVUCMYG</t>
        </is>
      </c>
      <c r="B202" t="inlineStr">
        <is>
          <t>10.1002/jps.24101</t>
        </is>
      </c>
      <c r="C202" s="2" t="inlineStr">
        <is>
          <t>Design of Nanosuspensions and Freeze-Dried PLGA Nanoparticles as a Novel Approach for Ophthalmic Delivery of Pranoprofen</t>
        </is>
      </c>
      <c r="D202" t="inlineStr">
        <is>
          <t>F21</t>
        </is>
      </c>
      <c r="E202" s="3" t="inlineStr">
        <is>
          <t>Pranoprofen</t>
        </is>
      </c>
      <c r="F202" s="4" t="inlineStr">
        <is>
          <t>text_described</t>
        </is>
      </c>
      <c r="G202" s="3" t="inlineStr">
        <is>
          <t>fulltext</t>
        </is>
      </c>
      <c r="H202" s="4" t="inlineStr">
        <is>
          <t>yes</t>
        </is>
      </c>
      <c r="I202" s="4" t="inlineStr">
        <is>
          <t>medium</t>
        </is>
      </c>
      <c r="J202" s="4" t="inlineStr">
        <is>
          <t>pending</t>
        </is>
      </c>
      <c r="K202" s="3" t="inlineStr">
        <is>
          <t>Aqueous phase pH: 4.50. PLGA feed concentration: 10.00 mg/mL. Mean Size SD: 3.99, PDI SD: 0.02, Zeta Potential SD: 0.15, Entrapment Efficiency SD: 1.29.</t>
        </is>
      </c>
      <c r="L202">
        <f>IF(OR($F202="",$H202="",$I202="",$J202=""),"missing_required","")</f>
        <v/>
      </c>
      <c r="M202">
        <f>IF(COUNTIFS($A:$A,$A202,$D:$D,$D202)&gt;1,"duplicate_id","")</f>
        <v/>
      </c>
    </row>
    <row r="203">
      <c r="A203" t="inlineStr">
        <is>
          <t>WIVUCMYG</t>
        </is>
      </c>
      <c r="B203" t="inlineStr">
        <is>
          <t>10.1002/jps.24101</t>
        </is>
      </c>
      <c r="C203" s="2" t="inlineStr">
        <is>
          <t>Design of Nanosuspensions and Freeze-Dried PLGA Nanoparticles as a Novel Approach for Ophthalmic Delivery of Pranoprofen</t>
        </is>
      </c>
      <c r="D203" t="inlineStr">
        <is>
          <t>F22</t>
        </is>
      </c>
      <c r="E203" s="3" t="inlineStr">
        <is>
          <t>Pranoprofen</t>
        </is>
      </c>
      <c r="F203" s="4" t="inlineStr">
        <is>
          <t>text_described</t>
        </is>
      </c>
      <c r="G203" s="3" t="inlineStr">
        <is>
          <t>fulltext</t>
        </is>
      </c>
      <c r="H203" s="4" t="inlineStr">
        <is>
          <t>yes</t>
        </is>
      </c>
      <c r="I203" s="4" t="inlineStr">
        <is>
          <t>medium</t>
        </is>
      </c>
      <c r="J203" s="4" t="inlineStr">
        <is>
          <t>pending</t>
        </is>
      </c>
      <c r="K203" s="3" t="inlineStr">
        <is>
          <t>Aqueous phase pH: 4.50. PLGA feed concentration: 8.00 mg/mL. Mean Size SD: 4.66, PDI SD: 0.01, Zeta Potential SD: 0.30, Entrapment Efficiency SD: 2.45.</t>
        </is>
      </c>
      <c r="L203">
        <f>IF(OR($F203="",$H203="",$I203="",$J203=""),"missing_required","")</f>
        <v/>
      </c>
      <c r="M203">
        <f>IF(COUNTIFS($A:$A,$A203,$D:$D,$D203)&gt;1,"duplicate_id","")</f>
        <v/>
      </c>
    </row>
    <row r="204">
      <c r="A204" t="inlineStr">
        <is>
          <t>WIVUCMYG</t>
        </is>
      </c>
      <c r="B204" t="inlineStr">
        <is>
          <t>10.1002/jps.24101</t>
        </is>
      </c>
      <c r="C204" s="2" t="inlineStr">
        <is>
          <t>Design of Nanosuspensions and Freeze-Dried PLGA Nanoparticles as a Novel Approach for Ophthalmic Delivery of Pranoprofen</t>
        </is>
      </c>
      <c r="D204" t="inlineStr">
        <is>
          <t>F23</t>
        </is>
      </c>
      <c r="E204" s="3" t="inlineStr">
        <is>
          <t>Pranoprofen</t>
        </is>
      </c>
      <c r="F204" s="4" t="inlineStr">
        <is>
          <t>text_described</t>
        </is>
      </c>
      <c r="G204" s="3" t="inlineStr">
        <is>
          <t>fulltext</t>
        </is>
      </c>
      <c r="H204" s="4" t="inlineStr">
        <is>
          <t>yes</t>
        </is>
      </c>
      <c r="I204" s="4" t="inlineStr">
        <is>
          <t>medium</t>
        </is>
      </c>
      <c r="J204" s="4" t="inlineStr">
        <is>
          <t>pending</t>
        </is>
      </c>
      <c r="K204" s="3" t="inlineStr">
        <is>
          <t>Aqueous phase pH: 6.50. PLGA feed concentration: 9.00 mg/mL. Mean Size SD: 1.47, PDI SD: 0.01, Zeta Potential SD: 0.29, Entrapment Efficiency SD: 0.25.</t>
        </is>
      </c>
      <c r="L204">
        <f>IF(OR($F204="",$H204="",$I204="",$J204=""),"missing_required","")</f>
        <v/>
      </c>
      <c r="M204">
        <f>IF(COUNTIFS($A:$A,$A204,$D:$D,$D204)&gt;1,"duplicate_id","")</f>
        <v/>
      </c>
    </row>
    <row r="205">
      <c r="A205" t="inlineStr">
        <is>
          <t>WIVUCMYG</t>
        </is>
      </c>
      <c r="B205" t="inlineStr">
        <is>
          <t>10.1002/jps.24101</t>
        </is>
      </c>
      <c r="C205" s="2" t="inlineStr">
        <is>
          <t>Design of Nanosuspensions and Freeze-Dried PLGA Nanoparticles as a Novel Approach for Ophthalmic Delivery of Pranoprofen</t>
        </is>
      </c>
      <c r="D205" t="inlineStr">
        <is>
          <t>F24</t>
        </is>
      </c>
      <c r="E205" s="3" t="inlineStr">
        <is>
          <t>Pranoprofen</t>
        </is>
      </c>
      <c r="F205" s="4" t="inlineStr">
        <is>
          <t>text_described</t>
        </is>
      </c>
      <c r="G205" s="3" t="inlineStr">
        <is>
          <t>fulltext</t>
        </is>
      </c>
      <c r="H205" s="4" t="inlineStr">
        <is>
          <t>yes</t>
        </is>
      </c>
      <c r="I205" s="4" t="inlineStr">
        <is>
          <t>medium</t>
        </is>
      </c>
      <c r="J205" s="4" t="inlineStr">
        <is>
          <t>pending</t>
        </is>
      </c>
      <c r="K205" s="3" t="inlineStr">
        <is>
          <t>Aqueous phase pH: 2.50. PLGA feed concentration: 9.00 mg/mL. Mean Size SD: 3.29, PDI SD: 0.04, Zeta Potential SD: 0.13, Entrapment Efficiency SD: 1.36.</t>
        </is>
      </c>
      <c r="L205">
        <f>IF(OR($F205="",$H205="",$I205="",$J205=""),"missing_required","")</f>
        <v/>
      </c>
      <c r="M205">
        <f>IF(COUNTIFS($A:$A,$A205,$D:$D,$D205)&gt;1,"duplicate_id","")</f>
        <v/>
      </c>
    </row>
    <row r="206">
      <c r="A206" t="inlineStr">
        <is>
          <t>WIVUCMYG</t>
        </is>
      </c>
      <c r="B206" t="inlineStr">
        <is>
          <t>10.1002/jps.24101</t>
        </is>
      </c>
      <c r="C206" s="2" t="inlineStr">
        <is>
          <t>Design of Nanosuspensions and Freeze-Dried PLGA Nanoparticles as a Novel Approach for Ophthalmic Delivery of Pranoprofen</t>
        </is>
      </c>
      <c r="D206" t="inlineStr">
        <is>
          <t>F25</t>
        </is>
      </c>
      <c r="E206" s="3" t="inlineStr">
        <is>
          <t>Pranoprofen</t>
        </is>
      </c>
      <c r="F206" s="4" t="inlineStr">
        <is>
          <t>text_described</t>
        </is>
      </c>
      <c r="G206" s="3" t="inlineStr">
        <is>
          <t>fulltext</t>
        </is>
      </c>
      <c r="H206" s="4" t="inlineStr">
        <is>
          <t>yes</t>
        </is>
      </c>
      <c r="I206" s="4" t="inlineStr">
        <is>
          <t>medium</t>
        </is>
      </c>
      <c r="J206" s="4" t="inlineStr">
        <is>
          <t>pending</t>
        </is>
      </c>
      <c r="K206" s="3" t="inlineStr">
        <is>
          <t>Aqueous phase pH: 4.50. PLGA feed concentration: 9.00 mg/mL. Mean Size SD: 2.62, PDI SD: 0.02, Zeta Potential SD: 0.15, Entrapment Efficiency SD: 0.85.</t>
        </is>
      </c>
      <c r="L206">
        <f>IF(OR($F206="",$H206="",$I206="",$J206=""),"missing_required","")</f>
        <v/>
      </c>
      <c r="M206">
        <f>IF(COUNTIFS($A:$A,$A206,$D:$D,$D206)&gt;1,"duplicate_id","")</f>
        <v/>
      </c>
    </row>
    <row r="207">
      <c r="A207" t="inlineStr">
        <is>
          <t>WIVUCMYG</t>
        </is>
      </c>
      <c r="B207" t="inlineStr">
        <is>
          <t>10.1002/jps.24101</t>
        </is>
      </c>
      <c r="C207" s="2" t="inlineStr">
        <is>
          <t>Design of Nanosuspensions and Freeze-Dried PLGA Nanoparticles as a Novel Approach for Ophthalmic Delivery of Pranoprofen</t>
        </is>
      </c>
      <c r="D207" t="inlineStr">
        <is>
          <t>F26</t>
        </is>
      </c>
      <c r="E207" s="3" t="inlineStr">
        <is>
          <t>Pranoprofen</t>
        </is>
      </c>
      <c r="F207" s="4" t="inlineStr">
        <is>
          <t>text_described</t>
        </is>
      </c>
      <c r="G207" s="3" t="inlineStr">
        <is>
          <t>fulltext</t>
        </is>
      </c>
      <c r="H207" s="4" t="inlineStr">
        <is>
          <t>yes</t>
        </is>
      </c>
      <c r="I207" s="4" t="inlineStr">
        <is>
          <t>medium</t>
        </is>
      </c>
      <c r="J207" s="4" t="inlineStr">
        <is>
          <t>pending</t>
        </is>
      </c>
      <c r="K207" s="3" t="inlineStr">
        <is>
          <t>Aqueous phase pH: 4.50. PLGA feed concentration: 9.00 mg/mL. Mean Size SD: 3.40, PDI SD: 0.02, Zeta Potential SD: 0.22, Entrapment Efficiency SD: 1.30.</t>
        </is>
      </c>
      <c r="L207">
        <f>IF(OR($F207="",$H207="",$I207="",$J207=""),"missing_required","")</f>
        <v/>
      </c>
      <c r="M207">
        <f>IF(COUNTIFS($A:$A,$A207,$D:$D,$D207)&gt;1,"duplicate_id","")</f>
        <v/>
      </c>
    </row>
    <row r="208">
      <c r="A208" t="inlineStr">
        <is>
          <t>WIVUCMYG</t>
        </is>
      </c>
      <c r="B208" t="inlineStr">
        <is>
          <t>10.1002/jps.24101</t>
        </is>
      </c>
      <c r="C208" s="2" t="inlineStr">
        <is>
          <t>Design of Nanosuspensions and Freeze-Dried PLGA Nanoparticles as a Novel Approach for Ophthalmic Delivery of Pranoprofen</t>
        </is>
      </c>
      <c r="D208" t="inlineStr">
        <is>
          <t>F3</t>
        </is>
      </c>
      <c r="E208" s="3" t="inlineStr">
        <is>
          <t>Pranoprofen</t>
        </is>
      </c>
      <c r="F208" s="4" t="inlineStr">
        <is>
          <t>text_described</t>
        </is>
      </c>
      <c r="G208" s="3" t="inlineStr">
        <is>
          <t>fulltext</t>
        </is>
      </c>
      <c r="H208" s="4" t="inlineStr">
        <is>
          <t>yes</t>
        </is>
      </c>
      <c r="I208" s="4" t="inlineStr">
        <is>
          <t>medium</t>
        </is>
      </c>
      <c r="J208" s="4" t="inlineStr">
        <is>
          <t>pending</t>
        </is>
      </c>
      <c r="K208" s="3" t="inlineStr">
        <is>
          <t>Aqueous phase pH: 3.50. PLGA feed concentration: 8.50 mg/mL. Mean Size SD: 6.28, PDI SD: 0.01, Zeta Potential SD: 0.48, Entrapment Efficiency SD: 2.01.</t>
        </is>
      </c>
      <c r="L208">
        <f>IF(OR($F208="",$H208="",$I208="",$J208=""),"missing_required","")</f>
        <v/>
      </c>
      <c r="M208">
        <f>IF(COUNTIFS($A:$A,$A208,$D:$D,$D208)&gt;1,"duplicate_id","")</f>
        <v/>
      </c>
    </row>
    <row r="209">
      <c r="A209" t="inlineStr">
        <is>
          <t>WIVUCMYG</t>
        </is>
      </c>
      <c r="B209" t="inlineStr">
        <is>
          <t>10.1002/jps.24101</t>
        </is>
      </c>
      <c r="C209" s="2" t="inlineStr">
        <is>
          <t>Design of Nanosuspensions and Freeze-Dried PLGA Nanoparticles as a Novel Approach for Ophthalmic Delivery of Pranoprofen</t>
        </is>
      </c>
      <c r="D209" t="inlineStr">
        <is>
          <t>F4</t>
        </is>
      </c>
      <c r="E209" s="3" t="inlineStr">
        <is>
          <t>Pranoprofen</t>
        </is>
      </c>
      <c r="F209" s="4" t="inlineStr">
        <is>
          <t>text_described</t>
        </is>
      </c>
      <c r="G209" s="3" t="inlineStr">
        <is>
          <t>fulltext</t>
        </is>
      </c>
      <c r="H209" s="4" t="inlineStr">
        <is>
          <t>yes</t>
        </is>
      </c>
      <c r="I209" s="4" t="inlineStr">
        <is>
          <t>medium</t>
        </is>
      </c>
      <c r="J209" s="4" t="inlineStr">
        <is>
          <t>pending</t>
        </is>
      </c>
      <c r="K209" s="3" t="inlineStr">
        <is>
          <t>Aqueous phase pH: 3.50. PLGA feed concentration: 8.50 mg/mL. Mean Size SD: 7.21, PDI SD: 0.02, Zeta Potential SD: 0.18, Entrapment Efficiency SD: 1.25.</t>
        </is>
      </c>
      <c r="L209">
        <f>IF(OR($F209="",$H209="",$I209="",$J209=""),"missing_required","")</f>
        <v/>
      </c>
      <c r="M209">
        <f>IF(COUNTIFS($A:$A,$A209,$D:$D,$D209)&gt;1,"duplicate_id","")</f>
        <v/>
      </c>
    </row>
    <row r="210">
      <c r="A210" t="inlineStr">
        <is>
          <t>WIVUCMYG</t>
        </is>
      </c>
      <c r="B210" t="inlineStr">
        <is>
          <t>10.1002/jps.24101</t>
        </is>
      </c>
      <c r="C210" s="2" t="inlineStr">
        <is>
          <t>Design of Nanosuspensions and Freeze-Dried PLGA Nanoparticles as a Novel Approach for Ophthalmic Delivery of Pranoprofen</t>
        </is>
      </c>
      <c r="D210" t="inlineStr">
        <is>
          <t>F5</t>
        </is>
      </c>
      <c r="E210" s="3" t="inlineStr">
        <is>
          <t>Pranoprofen</t>
        </is>
      </c>
      <c r="F210" s="4" t="inlineStr">
        <is>
          <t>text_described</t>
        </is>
      </c>
      <c r="G210" s="3" t="inlineStr">
        <is>
          <t>fulltext</t>
        </is>
      </c>
      <c r="H210" s="4" t="inlineStr">
        <is>
          <t>yes</t>
        </is>
      </c>
      <c r="I210" s="4" t="inlineStr">
        <is>
          <t>medium</t>
        </is>
      </c>
      <c r="J210" s="4" t="inlineStr">
        <is>
          <t>pending</t>
        </is>
      </c>
      <c r="K210" s="3" t="inlineStr">
        <is>
          <t>Aqueous phase pH: 3.50. PLGA feed concentration: 9.50 mg/mL. Mean Size SD: 8.11, PDI SD: 0.03, Zeta Potential SD: 0.31, Entrapment Efficiency SD: 1.82.</t>
        </is>
      </c>
      <c r="L210">
        <f>IF(OR($F210="",$H210="",$I210="",$J210=""),"missing_required","")</f>
        <v/>
      </c>
      <c r="M210">
        <f>IF(COUNTIFS($A:$A,$A210,$D:$D,$D210)&gt;1,"duplicate_id","")</f>
        <v/>
      </c>
    </row>
    <row r="211">
      <c r="A211" t="inlineStr">
        <is>
          <t>WIVUCMYG</t>
        </is>
      </c>
      <c r="B211" t="inlineStr">
        <is>
          <t>10.1002/jps.24101</t>
        </is>
      </c>
      <c r="C211" s="2" t="inlineStr">
        <is>
          <t>Design of Nanosuspensions and Freeze-Dried PLGA Nanoparticles as a Novel Approach for Ophthalmic Delivery of Pranoprofen</t>
        </is>
      </c>
      <c r="D211" t="inlineStr">
        <is>
          <t>F6</t>
        </is>
      </c>
      <c r="E211" s="3" t="inlineStr">
        <is>
          <t>Pranoprofen</t>
        </is>
      </c>
      <c r="F211" s="4" t="inlineStr">
        <is>
          <t>text_described</t>
        </is>
      </c>
      <c r="G211" s="3" t="inlineStr">
        <is>
          <t>fulltext</t>
        </is>
      </c>
      <c r="H211" s="4" t="inlineStr">
        <is>
          <t>yes</t>
        </is>
      </c>
      <c r="I211" s="4" t="inlineStr">
        <is>
          <t>medium</t>
        </is>
      </c>
      <c r="J211" s="4" t="inlineStr">
        <is>
          <t>pending</t>
        </is>
      </c>
      <c r="K211" s="3" t="inlineStr">
        <is>
          <t>Aqueous phase pH: 3.50. PLGA feed concentration: 9.50 mg/mL. Mean Size SD: 6.70, PDI SD: 0.03, Zeta Potential SD: 0.07, Entrapment Efficiency SD: 0.51.</t>
        </is>
      </c>
      <c r="L211">
        <f>IF(OR($F211="",$H211="",$I211="",$J211=""),"missing_required","")</f>
        <v/>
      </c>
      <c r="M211">
        <f>IF(COUNTIFS($A:$A,$A211,$D:$D,$D211)&gt;1,"duplicate_id","")</f>
        <v/>
      </c>
    </row>
    <row r="212">
      <c r="A212" t="inlineStr">
        <is>
          <t>WIVUCMYG</t>
        </is>
      </c>
      <c r="B212" t="inlineStr">
        <is>
          <t>10.1002/jps.24101</t>
        </is>
      </c>
      <c r="C212" s="2" t="inlineStr">
        <is>
          <t>Design of Nanosuspensions and Freeze-Dried PLGA Nanoparticles as a Novel Approach for Ophthalmic Delivery of Pranoprofen</t>
        </is>
      </c>
      <c r="D212" t="inlineStr">
        <is>
          <t>F7</t>
        </is>
      </c>
      <c r="E212" s="3" t="inlineStr">
        <is>
          <t>Pranoprofen</t>
        </is>
      </c>
      <c r="F212" s="4" t="inlineStr">
        <is>
          <t>text_described</t>
        </is>
      </c>
      <c r="G212" s="3" t="inlineStr">
        <is>
          <t>fulltext</t>
        </is>
      </c>
      <c r="H212" s="4" t="inlineStr">
        <is>
          <t>yes</t>
        </is>
      </c>
      <c r="I212" s="4" t="inlineStr">
        <is>
          <t>medium</t>
        </is>
      </c>
      <c r="J212" s="4" t="inlineStr">
        <is>
          <t>pending</t>
        </is>
      </c>
      <c r="K212" s="3" t="inlineStr">
        <is>
          <t>Aqueous phase pH: 3.50. PLGA feed concentration: 9.50 mg/mL. Mean Size SD: 5.63, PDI SD: 0.02, Zeta Potential SD: 0.06, Entrapment Efficiency SD: 1.98.</t>
        </is>
      </c>
      <c r="L212">
        <f>IF(OR($F212="",$H212="",$I212="",$J212=""),"missing_required","")</f>
        <v/>
      </c>
      <c r="M212">
        <f>IF(COUNTIFS($A:$A,$A212,$D:$D,$D212)&gt;1,"duplicate_id","")</f>
        <v/>
      </c>
    </row>
    <row r="213">
      <c r="A213" t="inlineStr">
        <is>
          <t>WIVUCMYG</t>
        </is>
      </c>
      <c r="B213" t="inlineStr">
        <is>
          <t>10.1002/jps.24101</t>
        </is>
      </c>
      <c r="C213" s="2" t="inlineStr">
        <is>
          <t>Design of Nanosuspensions and Freeze-Dried PLGA Nanoparticles as a Novel Approach for Ophthalmic Delivery of Pranoprofen</t>
        </is>
      </c>
      <c r="D213" t="inlineStr">
        <is>
          <t>F8</t>
        </is>
      </c>
      <c r="E213" s="3" t="inlineStr">
        <is>
          <t>Pranoprofen</t>
        </is>
      </c>
      <c r="F213" s="4" t="inlineStr">
        <is>
          <t>text_described</t>
        </is>
      </c>
      <c r="G213" s="3" t="inlineStr">
        <is>
          <t>fulltext</t>
        </is>
      </c>
      <c r="H213" s="4" t="inlineStr">
        <is>
          <t>yes</t>
        </is>
      </c>
      <c r="I213" s="4" t="inlineStr">
        <is>
          <t>medium</t>
        </is>
      </c>
      <c r="J213" s="4" t="inlineStr">
        <is>
          <t>pending</t>
        </is>
      </c>
      <c r="K213" s="3" t="inlineStr">
        <is>
          <t>Aqueous phase pH: 3.50. PLGA feed concentration: 9.50 mg/mL. Mean Size SD: 6.26, PDI SD: 0.01, Zeta Potential SD: 0.36, Entrapment Efficiency SD: 0.56.</t>
        </is>
      </c>
      <c r="L213">
        <f>IF(OR($F213="",$H213="",$I213="",$J213=""),"missing_required","")</f>
        <v/>
      </c>
      <c r="M213">
        <f>IF(COUNTIFS($A:$A,$A213,$D:$D,$D213)&gt;1,"duplicate_id","")</f>
        <v/>
      </c>
    </row>
    <row r="214">
      <c r="A214" t="inlineStr">
        <is>
          <t>WIVUCMYG</t>
        </is>
      </c>
      <c r="B214" t="inlineStr">
        <is>
          <t>10.1002/jps.24101</t>
        </is>
      </c>
      <c r="C214" s="2" t="inlineStr">
        <is>
          <t>Design of Nanosuspensions and Freeze-Dried PLGA Nanoparticles as a Novel Approach for Ophthalmic Delivery of Pranoprofen</t>
        </is>
      </c>
      <c r="D214" t="inlineStr">
        <is>
          <t>F9</t>
        </is>
      </c>
      <c r="E214" s="3" t="inlineStr">
        <is>
          <t>Pranoprofen</t>
        </is>
      </c>
      <c r="F214" s="4" t="inlineStr">
        <is>
          <t>text_described</t>
        </is>
      </c>
      <c r="G214" s="3" t="inlineStr">
        <is>
          <t>fulltext</t>
        </is>
      </c>
      <c r="H214" s="4" t="inlineStr">
        <is>
          <t>yes</t>
        </is>
      </c>
      <c r="I214" s="4" t="inlineStr">
        <is>
          <t>medium</t>
        </is>
      </c>
      <c r="J214" s="4" t="inlineStr">
        <is>
          <t>pending</t>
        </is>
      </c>
      <c r="K214" s="3" t="inlineStr">
        <is>
          <t>Aqueous phase pH: 5.50. PLGA feed concentration: 9.50 mg/mL. Mean Size SD: 2.12, PDI SD: 0.03, Zeta Potential SD: 0.16, Entrapment Efficiency SD: 0.07.</t>
        </is>
      </c>
      <c r="L214">
        <f>IF(OR($F214="",$H214="",$I214="",$J214=""),"missing_required","")</f>
        <v/>
      </c>
      <c r="M214">
        <f>IF(COUNTIFS($A:$A,$A214,$D:$D,$D214)&gt;1,"duplicate_id","")</f>
        <v/>
      </c>
    </row>
    <row r="215">
      <c r="A215" t="inlineStr">
        <is>
          <t>YGA8VQKU</t>
        </is>
      </c>
      <c r="B215" t="inlineStr">
        <is>
          <t>10.1016/j.colsurfb.2009.03.028</t>
        </is>
      </c>
      <c r="C215" s="2" t="inlineStr">
        <is>
          <t>Effect of polymer viscosity on physicochemical properties and ocular tolerance of FB-loaded PLGA nanospheres</t>
        </is>
      </c>
      <c r="D215" t="inlineStr">
        <is>
          <t>1</t>
        </is>
      </c>
      <c r="E215" s="3" t="inlineStr">
        <is>
          <t>flurbiprofen</t>
        </is>
      </c>
      <c r="F215" s="4" t="inlineStr"/>
      <c r="G215" s="3" t="inlineStr"/>
      <c r="H215" s="4" t="inlineStr">
        <is>
          <t>yes</t>
        </is>
      </c>
      <c r="I215" s="4" t="inlineStr">
        <is>
          <t>medium</t>
        </is>
      </c>
      <c r="J215" s="4" t="inlineStr">
        <is>
          <t>pending</t>
        </is>
      </c>
      <c r="K215" s="3" t="inlineStr">
        <is>
          <t>low viscosity PLGA (0.32–0.44 dL/g)</t>
        </is>
      </c>
      <c r="L215">
        <f>IF(OR($F215="",$H215="",$I215="",$J215=""),"missing_required","")</f>
        <v/>
      </c>
      <c r="M215">
        <f>IF(COUNTIFS($A:$A,$A215,$D:$D,$D215)&gt;1,"duplicate_id","")</f>
        <v/>
      </c>
    </row>
    <row r="216">
      <c r="A216" t="inlineStr">
        <is>
          <t>YGA8VQKU</t>
        </is>
      </c>
      <c r="B216" t="inlineStr">
        <is>
          <t>10.1016/j.colsurfb.2009.03.028</t>
        </is>
      </c>
      <c r="C216" s="2" t="inlineStr">
        <is>
          <t>Effect of polymer viscosity on physicochemical properties and ocular tolerance of FB-loaded PLGA nanospheres</t>
        </is>
      </c>
      <c r="D216" t="inlineStr">
        <is>
          <t>10</t>
        </is>
      </c>
      <c r="E216" s="3" t="inlineStr"/>
      <c r="F216" s="4" t="inlineStr"/>
      <c r="G216" s="3" t="inlineStr"/>
      <c r="H216" s="4" t="inlineStr">
        <is>
          <t>uncertain</t>
        </is>
      </c>
      <c r="I216" s="4" t="inlineStr">
        <is>
          <t>low</t>
        </is>
      </c>
      <c r="J216" s="4" t="inlineStr">
        <is>
          <t>pending</t>
        </is>
      </c>
      <c r="K216" s="3" t="inlineStr">
        <is>
          <t>Day 75, High viscosity (0.7–1.1 dL/g)</t>
        </is>
      </c>
      <c r="L216">
        <f>IF(OR($F216="",$H216="",$I216="",$J216=""),"missing_required","")</f>
        <v/>
      </c>
      <c r="M216">
        <f>IF(COUNTIFS($A:$A,$A216,$D:$D,$D216)&gt;1,"duplicate_id","")</f>
        <v/>
      </c>
    </row>
    <row r="217">
      <c r="A217" t="inlineStr">
        <is>
          <t>YGA8VQKU</t>
        </is>
      </c>
      <c r="B217" t="inlineStr">
        <is>
          <t>10.1016/j.colsurfb.2009.03.028</t>
        </is>
      </c>
      <c r="C217" s="2" t="inlineStr">
        <is>
          <t>Effect of polymer viscosity on physicochemical properties and ocular tolerance of FB-loaded PLGA nanospheres</t>
        </is>
      </c>
      <c r="D217" t="inlineStr">
        <is>
          <t>2</t>
        </is>
      </c>
      <c r="E217" s="3" t="inlineStr">
        <is>
          <t>flurbiprofen</t>
        </is>
      </c>
      <c r="F217" s="4" t="inlineStr"/>
      <c r="G217" s="3" t="inlineStr"/>
      <c r="H217" s="4" t="inlineStr">
        <is>
          <t>yes</t>
        </is>
      </c>
      <c r="I217" s="4" t="inlineStr">
        <is>
          <t>medium</t>
        </is>
      </c>
      <c r="J217" s="4" t="inlineStr">
        <is>
          <t>pending</t>
        </is>
      </c>
      <c r="K217" s="3" t="inlineStr">
        <is>
          <t>high viscosity PLGA (PLGA 0.7–1.1 dL/g)</t>
        </is>
      </c>
      <c r="L217">
        <f>IF(OR($F217="",$H217="",$I217="",$J217=""),"missing_required","")</f>
        <v/>
      </c>
      <c r="M217">
        <f>IF(COUNTIFS($A:$A,$A217,$D:$D,$D217)&gt;1,"duplicate_id","")</f>
        <v/>
      </c>
    </row>
    <row r="218">
      <c r="A218" t="inlineStr">
        <is>
          <t>YGA8VQKU</t>
        </is>
      </c>
      <c r="B218" t="inlineStr">
        <is>
          <t>10.1016/j.colsurfb.2009.03.028</t>
        </is>
      </c>
      <c r="C218" s="2" t="inlineStr">
        <is>
          <t>Effect of polymer viscosity on physicochemical properties and ocular tolerance of FB-loaded PLGA nanospheres</t>
        </is>
      </c>
      <c r="D218" t="inlineStr">
        <is>
          <t>3</t>
        </is>
      </c>
      <c r="E218" s="3" t="inlineStr"/>
      <c r="F218" s="4" t="inlineStr"/>
      <c r="G218" s="3" t="inlineStr"/>
      <c r="H218" s="4" t="inlineStr">
        <is>
          <t>uncertain</t>
        </is>
      </c>
      <c r="I218" s="4" t="inlineStr">
        <is>
          <t>low</t>
        </is>
      </c>
      <c r="J218" s="4" t="inlineStr">
        <is>
          <t>pending</t>
        </is>
      </c>
      <c r="K218" s="3" t="inlineStr">
        <is>
          <t>Day 1, Low viscosity (0.32–0.44 dL/g)</t>
        </is>
      </c>
      <c r="L218">
        <f>IF(OR($F218="",$H218="",$I218="",$J218=""),"missing_required","")</f>
        <v/>
      </c>
      <c r="M218">
        <f>IF(COUNTIFS($A:$A,$A218,$D:$D,$D218)&gt;1,"duplicate_id","")</f>
        <v/>
      </c>
    </row>
    <row r="219">
      <c r="A219" t="inlineStr">
        <is>
          <t>YGA8VQKU</t>
        </is>
      </c>
      <c r="B219" t="inlineStr">
        <is>
          <t>10.1016/j.colsurfb.2009.03.028</t>
        </is>
      </c>
      <c r="C219" s="2" t="inlineStr">
        <is>
          <t>Effect of polymer viscosity on physicochemical properties and ocular tolerance of FB-loaded PLGA nanospheres</t>
        </is>
      </c>
      <c r="D219" t="inlineStr">
        <is>
          <t>4</t>
        </is>
      </c>
      <c r="E219" s="3" t="inlineStr"/>
      <c r="F219" s="4" t="inlineStr"/>
      <c r="G219" s="3" t="inlineStr"/>
      <c r="H219" s="4" t="inlineStr">
        <is>
          <t>uncertain</t>
        </is>
      </c>
      <c r="I219" s="4" t="inlineStr">
        <is>
          <t>low</t>
        </is>
      </c>
      <c r="J219" s="4" t="inlineStr">
        <is>
          <t>pending</t>
        </is>
      </c>
      <c r="K219" s="3" t="inlineStr">
        <is>
          <t>Day 1, High viscosity (0.7–1.1 dL/g)</t>
        </is>
      </c>
      <c r="L219">
        <f>IF(OR($F219="",$H219="",$I219="",$J219=""),"missing_required","")</f>
        <v/>
      </c>
      <c r="M219">
        <f>IF(COUNTIFS($A:$A,$A219,$D:$D,$D219)&gt;1,"duplicate_id","")</f>
        <v/>
      </c>
    </row>
    <row r="220">
      <c r="A220" t="inlineStr">
        <is>
          <t>YGA8VQKU</t>
        </is>
      </c>
      <c r="B220" t="inlineStr">
        <is>
          <t>10.1016/j.colsurfb.2009.03.028</t>
        </is>
      </c>
      <c r="C220" s="2" t="inlineStr">
        <is>
          <t>Effect of polymer viscosity on physicochemical properties and ocular tolerance of FB-loaded PLGA nanospheres</t>
        </is>
      </c>
      <c r="D220" t="inlineStr">
        <is>
          <t>5</t>
        </is>
      </c>
      <c r="E220" s="3" t="inlineStr"/>
      <c r="F220" s="4" t="inlineStr"/>
      <c r="G220" s="3" t="inlineStr"/>
      <c r="H220" s="4" t="inlineStr">
        <is>
          <t>uncertain</t>
        </is>
      </c>
      <c r="I220" s="4" t="inlineStr">
        <is>
          <t>low</t>
        </is>
      </c>
      <c r="J220" s="4" t="inlineStr">
        <is>
          <t>pending</t>
        </is>
      </c>
      <c r="K220" s="3" t="inlineStr">
        <is>
          <t>Day 7, Low viscosity (0.32–0.44 dL/g)</t>
        </is>
      </c>
      <c r="L220">
        <f>IF(OR($F220="",$H220="",$I220="",$J220=""),"missing_required","")</f>
        <v/>
      </c>
      <c r="M220">
        <f>IF(COUNTIFS($A:$A,$A220,$D:$D,$D220)&gt;1,"duplicate_id","")</f>
        <v/>
      </c>
    </row>
    <row r="221">
      <c r="A221" t="inlineStr">
        <is>
          <t>YGA8VQKU</t>
        </is>
      </c>
      <c r="B221" t="inlineStr">
        <is>
          <t>10.1016/j.colsurfb.2009.03.028</t>
        </is>
      </c>
      <c r="C221" s="2" t="inlineStr">
        <is>
          <t>Effect of polymer viscosity on physicochemical properties and ocular tolerance of FB-loaded PLGA nanospheres</t>
        </is>
      </c>
      <c r="D221" t="inlineStr">
        <is>
          <t>6</t>
        </is>
      </c>
      <c r="E221" s="3" t="inlineStr"/>
      <c r="F221" s="4" t="inlineStr"/>
      <c r="G221" s="3" t="inlineStr"/>
      <c r="H221" s="4" t="inlineStr">
        <is>
          <t>uncertain</t>
        </is>
      </c>
      <c r="I221" s="4" t="inlineStr">
        <is>
          <t>low</t>
        </is>
      </c>
      <c r="J221" s="4" t="inlineStr">
        <is>
          <t>pending</t>
        </is>
      </c>
      <c r="K221" s="3" t="inlineStr">
        <is>
          <t>Day 7, High viscosity (0.7–1.1 dL/g)</t>
        </is>
      </c>
      <c r="L221">
        <f>IF(OR($F221="",$H221="",$I221="",$J221=""),"missing_required","")</f>
        <v/>
      </c>
      <c r="M221">
        <f>IF(COUNTIFS($A:$A,$A221,$D:$D,$D221)&gt;1,"duplicate_id","")</f>
        <v/>
      </c>
    </row>
    <row r="222">
      <c r="A222" t="inlineStr">
        <is>
          <t>YGA8VQKU</t>
        </is>
      </c>
      <c r="B222" t="inlineStr">
        <is>
          <t>10.1016/j.colsurfb.2009.03.028</t>
        </is>
      </c>
      <c r="C222" s="2" t="inlineStr">
        <is>
          <t>Effect of polymer viscosity on physicochemical properties and ocular tolerance of FB-loaded PLGA nanospheres</t>
        </is>
      </c>
      <c r="D222" t="inlineStr">
        <is>
          <t>7</t>
        </is>
      </c>
      <c r="E222" s="3" t="inlineStr"/>
      <c r="F222" s="4" t="inlineStr"/>
      <c r="G222" s="3" t="inlineStr"/>
      <c r="H222" s="4" t="inlineStr">
        <is>
          <t>uncertain</t>
        </is>
      </c>
      <c r="I222" s="4" t="inlineStr">
        <is>
          <t>low</t>
        </is>
      </c>
      <c r="J222" s="4" t="inlineStr">
        <is>
          <t>pending</t>
        </is>
      </c>
      <c r="K222" s="3" t="inlineStr">
        <is>
          <t>Day 15, Low viscosity (0.32–0.44 dL/g)</t>
        </is>
      </c>
      <c r="L222">
        <f>IF(OR($F222="",$H222="",$I222="",$J222=""),"missing_required","")</f>
        <v/>
      </c>
      <c r="M222">
        <f>IF(COUNTIFS($A:$A,$A222,$D:$D,$D222)&gt;1,"duplicate_id","")</f>
        <v/>
      </c>
    </row>
    <row r="223">
      <c r="A223" t="inlineStr">
        <is>
          <t>YGA8VQKU</t>
        </is>
      </c>
      <c r="B223" t="inlineStr">
        <is>
          <t>10.1016/j.colsurfb.2009.03.028</t>
        </is>
      </c>
      <c r="C223" s="2" t="inlineStr">
        <is>
          <t>Effect of polymer viscosity on physicochemical properties and ocular tolerance of FB-loaded PLGA nanospheres</t>
        </is>
      </c>
      <c r="D223" t="inlineStr">
        <is>
          <t>8</t>
        </is>
      </c>
      <c r="E223" s="3" t="inlineStr"/>
      <c r="F223" s="4" t="inlineStr"/>
      <c r="G223" s="3" t="inlineStr"/>
      <c r="H223" s="4" t="inlineStr">
        <is>
          <t>uncertain</t>
        </is>
      </c>
      <c r="I223" s="4" t="inlineStr">
        <is>
          <t>low</t>
        </is>
      </c>
      <c r="J223" s="4" t="inlineStr">
        <is>
          <t>pending</t>
        </is>
      </c>
      <c r="K223" s="3" t="inlineStr">
        <is>
          <t>Day 15, High viscosity (0.7–1.1 dL/g)</t>
        </is>
      </c>
      <c r="L223">
        <f>IF(OR($F223="",$H223="",$I223="",$J223=""),"missing_required","")</f>
        <v/>
      </c>
      <c r="M223">
        <f>IF(COUNTIFS($A:$A,$A223,$D:$D,$D223)&gt;1,"duplicate_id","")</f>
        <v/>
      </c>
    </row>
    <row r="224">
      <c r="A224" t="inlineStr">
        <is>
          <t>YGA8VQKU</t>
        </is>
      </c>
      <c r="B224" t="inlineStr">
        <is>
          <t>10.1016/j.colsurfb.2009.03.028</t>
        </is>
      </c>
      <c r="C224" s="2" t="inlineStr">
        <is>
          <t>Effect of polymer viscosity on physicochemical properties and ocular tolerance of FB-loaded PLGA nanospheres</t>
        </is>
      </c>
      <c r="D224" t="inlineStr">
        <is>
          <t>9</t>
        </is>
      </c>
      <c r="E224" s="3" t="inlineStr"/>
      <c r="F224" s="4" t="inlineStr"/>
      <c r="G224" s="3" t="inlineStr"/>
      <c r="H224" s="4" t="inlineStr">
        <is>
          <t>uncertain</t>
        </is>
      </c>
      <c r="I224" s="4" t="inlineStr">
        <is>
          <t>low</t>
        </is>
      </c>
      <c r="J224" s="4" t="inlineStr">
        <is>
          <t>pending</t>
        </is>
      </c>
      <c r="K224" s="3" t="inlineStr">
        <is>
          <t>Day 75, Low viscosity (0.32–0.44 dL/g)</t>
        </is>
      </c>
      <c r="L224">
        <f>IF(OR($F224="",$H224="",$I224="",$J224=""),"missing_required","")</f>
        <v/>
      </c>
      <c r="M224">
        <f>IF(COUNTIFS($A:$A,$A224,$D:$D,$D224)&gt;1,"duplicate_id","")</f>
        <v/>
      </c>
    </row>
    <row r="225">
      <c r="A225" t="inlineStr">
        <is>
          <t>YGA8VQKU</t>
        </is>
      </c>
      <c r="B225" t="inlineStr">
        <is>
          <t>10.1016/j.colsurfb.2009.03.028</t>
        </is>
      </c>
      <c r="C225" s="2" t="inlineStr">
        <is>
          <t>Effect of polymer viscosity on physicochemical properties and ocular tolerance of FB-loaded PLGA nanospheres</t>
        </is>
      </c>
      <c r="D225" t="inlineStr">
        <is>
          <t>F1</t>
        </is>
      </c>
      <c r="E225" s="3" t="inlineStr">
        <is>
          <t>flurbiprofen</t>
        </is>
      </c>
      <c r="F225" s="4" t="inlineStr"/>
      <c r="G225" s="3" t="inlineStr"/>
      <c r="H225" s="4" t="inlineStr">
        <is>
          <t>yes</t>
        </is>
      </c>
      <c r="I225" s="4" t="inlineStr">
        <is>
          <t>medium</t>
        </is>
      </c>
      <c r="J225" s="4" t="inlineStr">
        <is>
          <t>pending</t>
        </is>
      </c>
      <c r="K225" s="3" t="inlineStr">
        <is>
          <t>cPLGA = 9 mg/mL, pH = 3.50.</t>
        </is>
      </c>
      <c r="L225">
        <f>IF(OR($F225="",$H225="",$I225="",$J225=""),"missing_required","")</f>
        <v/>
      </c>
      <c r="M225">
        <f>IF(COUNTIFS($A:$A,$A225,$D:$D,$D225)&gt;1,"duplicate_id","")</f>
        <v/>
      </c>
    </row>
    <row r="226">
      <c r="A226" t="inlineStr">
        <is>
          <t>YGA8VQKU</t>
        </is>
      </c>
      <c r="B226" t="inlineStr">
        <is>
          <t>10.1016/j.colsurfb.2009.03.028</t>
        </is>
      </c>
      <c r="C226" s="2" t="inlineStr">
        <is>
          <t>Effect of polymer viscosity on physicochemical properties and ocular tolerance of FB-loaded PLGA nanospheres</t>
        </is>
      </c>
      <c r="D226" t="inlineStr">
        <is>
          <t>F10</t>
        </is>
      </c>
      <c r="E226" s="3" t="inlineStr">
        <is>
          <t>flurbiprofen</t>
        </is>
      </c>
      <c r="F226" s="4" t="inlineStr"/>
      <c r="G226" s="3" t="inlineStr"/>
      <c r="H226" s="4" t="inlineStr">
        <is>
          <t>yes</t>
        </is>
      </c>
      <c r="I226" s="4" t="inlineStr">
        <is>
          <t>medium</t>
        </is>
      </c>
      <c r="J226" s="4" t="inlineStr">
        <is>
          <t>pending</t>
        </is>
      </c>
      <c r="K226" s="3" t="inlineStr">
        <is>
          <t>cPLGA = 9 mg/mL, pH = 4.50.</t>
        </is>
      </c>
      <c r="L226">
        <f>IF(OR($F226="",$H226="",$I226="",$J226=""),"missing_required","")</f>
        <v/>
      </c>
      <c r="M226">
        <f>IF(COUNTIFS($A:$A,$A226,$D:$D,$D226)&gt;1,"duplicate_id","")</f>
        <v/>
      </c>
    </row>
    <row r="227">
      <c r="A227" t="inlineStr">
        <is>
          <t>YGA8VQKU</t>
        </is>
      </c>
      <c r="B227" t="inlineStr">
        <is>
          <t>10.1016/j.colsurfb.2009.03.028</t>
        </is>
      </c>
      <c r="C227" s="2" t="inlineStr">
        <is>
          <t>Effect of polymer viscosity on physicochemical properties and ocular tolerance of FB-loaded PLGA nanospheres</t>
        </is>
      </c>
      <c r="D227" t="inlineStr">
        <is>
          <t>F11</t>
        </is>
      </c>
      <c r="E227" s="3" t="inlineStr">
        <is>
          <t>flurbiprofen</t>
        </is>
      </c>
      <c r="F227" s="4" t="inlineStr"/>
      <c r="G227" s="3" t="inlineStr"/>
      <c r="H227" s="4" t="inlineStr">
        <is>
          <t>yes</t>
        </is>
      </c>
      <c r="I227" s="4" t="inlineStr">
        <is>
          <t>medium</t>
        </is>
      </c>
      <c r="J227" s="4" t="inlineStr">
        <is>
          <t>pending</t>
        </is>
      </c>
      <c r="K227" s="3" t="inlineStr">
        <is>
          <t>cPLGA = 9 mg/mL, pH = 4.50.</t>
        </is>
      </c>
      <c r="L227">
        <f>IF(OR($F227="",$H227="",$I227="",$J227=""),"missing_required","")</f>
        <v/>
      </c>
      <c r="M227">
        <f>IF(COUNTIFS($A:$A,$A227,$D:$D,$D227)&gt;1,"duplicate_id","")</f>
        <v/>
      </c>
    </row>
    <row r="228">
      <c r="A228" t="inlineStr">
        <is>
          <t>YGA8VQKU</t>
        </is>
      </c>
      <c r="B228" t="inlineStr">
        <is>
          <t>10.1016/j.colsurfb.2009.03.028</t>
        </is>
      </c>
      <c r="C228" s="2" t="inlineStr">
        <is>
          <t>Effect of polymer viscosity on physicochemical properties and ocular tolerance of FB-loaded PLGA nanospheres</t>
        </is>
      </c>
      <c r="D228" t="inlineStr">
        <is>
          <t>F12</t>
        </is>
      </c>
      <c r="E228" s="3" t="inlineStr">
        <is>
          <t>flurbiprofen</t>
        </is>
      </c>
      <c r="F228" s="4" t="inlineStr"/>
      <c r="G228" s="3" t="inlineStr"/>
      <c r="H228" s="4" t="inlineStr">
        <is>
          <t>yes</t>
        </is>
      </c>
      <c r="I228" s="4" t="inlineStr">
        <is>
          <t>medium</t>
        </is>
      </c>
      <c r="J228" s="4" t="inlineStr">
        <is>
          <t>pending</t>
        </is>
      </c>
      <c r="K228" s="3" t="inlineStr">
        <is>
          <t>cPLGA = 9 mg/mL, pH = 4.50.</t>
        </is>
      </c>
      <c r="L228">
        <f>IF(OR($F228="",$H228="",$I228="",$J228=""),"missing_required","")</f>
        <v/>
      </c>
      <c r="M228">
        <f>IF(COUNTIFS($A:$A,$A228,$D:$D,$D228)&gt;1,"duplicate_id","")</f>
        <v/>
      </c>
    </row>
    <row r="229">
      <c r="A229" t="inlineStr">
        <is>
          <t>YGA8VQKU</t>
        </is>
      </c>
      <c r="B229" t="inlineStr">
        <is>
          <t>10.1016/j.colsurfb.2009.03.028</t>
        </is>
      </c>
      <c r="C229" s="2" t="inlineStr">
        <is>
          <t>Effect of polymer viscosity on physicochemical properties and ocular tolerance of FB-loaded PLGA nanospheres</t>
        </is>
      </c>
      <c r="D229" t="inlineStr">
        <is>
          <t>F13</t>
        </is>
      </c>
      <c r="E229" s="3" t="inlineStr">
        <is>
          <t>flurbiprofen</t>
        </is>
      </c>
      <c r="F229" s="4" t="inlineStr"/>
      <c r="G229" s="3" t="inlineStr"/>
      <c r="H229" s="4" t="inlineStr">
        <is>
          <t>yes</t>
        </is>
      </c>
      <c r="I229" s="4" t="inlineStr">
        <is>
          <t>medium</t>
        </is>
      </c>
      <c r="J229" s="4" t="inlineStr">
        <is>
          <t>pending</t>
        </is>
      </c>
      <c r="K229" s="3" t="inlineStr">
        <is>
          <t>cPLGA = 9 mg/mL, pH = 6.18.</t>
        </is>
      </c>
      <c r="L229">
        <f>IF(OR($F229="",$H229="",$I229="",$J229=""),"missing_required","")</f>
        <v/>
      </c>
      <c r="M229">
        <f>IF(COUNTIFS($A:$A,$A229,$D:$D,$D229)&gt;1,"duplicate_id","")</f>
        <v/>
      </c>
    </row>
    <row r="230">
      <c r="A230" t="inlineStr">
        <is>
          <t>YGA8VQKU</t>
        </is>
      </c>
      <c r="B230" t="inlineStr">
        <is>
          <t>10.1016/j.colsurfb.2009.03.028</t>
        </is>
      </c>
      <c r="C230" s="2" t="inlineStr">
        <is>
          <t>Effect of polymer viscosity on physicochemical properties and ocular tolerance of FB-loaded PLGA nanospheres</t>
        </is>
      </c>
      <c r="D230" t="inlineStr">
        <is>
          <t>F14</t>
        </is>
      </c>
      <c r="E230" s="3" t="inlineStr">
        <is>
          <t>flurbiprofen</t>
        </is>
      </c>
      <c r="F230" s="4" t="inlineStr"/>
      <c r="G230" s="3" t="inlineStr"/>
      <c r="H230" s="4" t="inlineStr">
        <is>
          <t>yes</t>
        </is>
      </c>
      <c r="I230" s="4" t="inlineStr">
        <is>
          <t>medium</t>
        </is>
      </c>
      <c r="J230" s="4" t="inlineStr">
        <is>
          <t>pending</t>
        </is>
      </c>
      <c r="K230" s="3" t="inlineStr">
        <is>
          <t>cPLGA = 9 mg/mL, pH = 2.82.</t>
        </is>
      </c>
      <c r="L230">
        <f>IF(OR($F230="",$H230="",$I230="",$J230=""),"missing_required","")</f>
        <v/>
      </c>
      <c r="M230">
        <f>IF(COUNTIFS($A:$A,$A230,$D:$D,$D230)&gt;1,"duplicate_id","")</f>
        <v/>
      </c>
    </row>
    <row r="231">
      <c r="A231" t="inlineStr">
        <is>
          <t>YGA8VQKU</t>
        </is>
      </c>
      <c r="B231" t="inlineStr">
        <is>
          <t>10.1016/j.colsurfb.2009.03.028</t>
        </is>
      </c>
      <c r="C231" s="2" t="inlineStr">
        <is>
          <t>Effect of polymer viscosity on physicochemical properties and ocular tolerance of FB-loaded PLGA nanospheres</t>
        </is>
      </c>
      <c r="D231" t="inlineStr">
        <is>
          <t>F15</t>
        </is>
      </c>
      <c r="E231" s="3" t="inlineStr">
        <is>
          <t>flurbiprofen</t>
        </is>
      </c>
      <c r="F231" s="4" t="inlineStr"/>
      <c r="G231" s="3" t="inlineStr"/>
      <c r="H231" s="4" t="inlineStr">
        <is>
          <t>yes</t>
        </is>
      </c>
      <c r="I231" s="4" t="inlineStr">
        <is>
          <t>medium</t>
        </is>
      </c>
      <c r="J231" s="4" t="inlineStr">
        <is>
          <t>pending</t>
        </is>
      </c>
      <c r="K231" s="3" t="inlineStr">
        <is>
          <t>cPLGA = 9 mg/mL, pH = 4.50.</t>
        </is>
      </c>
      <c r="L231">
        <f>IF(OR($F231="",$H231="",$I231="",$J231=""),"missing_required","")</f>
        <v/>
      </c>
      <c r="M231">
        <f>IF(COUNTIFS($A:$A,$A231,$D:$D,$D231)&gt;1,"duplicate_id","")</f>
        <v/>
      </c>
    </row>
    <row r="232">
      <c r="A232" t="inlineStr">
        <is>
          <t>YGA8VQKU</t>
        </is>
      </c>
      <c r="B232" t="inlineStr">
        <is>
          <t>10.1016/j.colsurfb.2009.03.028</t>
        </is>
      </c>
      <c r="C232" s="2" t="inlineStr">
        <is>
          <t>Effect of polymer viscosity on physicochemical properties and ocular tolerance of FB-loaded PLGA nanospheres</t>
        </is>
      </c>
      <c r="D232" t="inlineStr">
        <is>
          <t>F16</t>
        </is>
      </c>
      <c r="E232" s="3" t="inlineStr">
        <is>
          <t>flurbiprofen</t>
        </is>
      </c>
      <c r="F232" s="4" t="inlineStr"/>
      <c r="G232" s="3" t="inlineStr"/>
      <c r="H232" s="4" t="inlineStr">
        <is>
          <t>yes</t>
        </is>
      </c>
      <c r="I232" s="4" t="inlineStr">
        <is>
          <t>medium</t>
        </is>
      </c>
      <c r="J232" s="4" t="inlineStr">
        <is>
          <t>pending</t>
        </is>
      </c>
      <c r="K232" s="3" t="inlineStr">
        <is>
          <t>cPLGA = 9 mg/mL, pH = 4.50.</t>
        </is>
      </c>
      <c r="L232">
        <f>IF(OR($F232="",$H232="",$I232="",$J232=""),"missing_required","")</f>
        <v/>
      </c>
      <c r="M232">
        <f>IF(COUNTIFS($A:$A,$A232,$D:$D,$D232)&gt;1,"duplicate_id","")</f>
        <v/>
      </c>
    </row>
    <row r="233">
      <c r="A233" t="inlineStr">
        <is>
          <t>YGA8VQKU</t>
        </is>
      </c>
      <c r="B233" t="inlineStr">
        <is>
          <t>10.1016/j.colsurfb.2009.03.028</t>
        </is>
      </c>
      <c r="C233" s="2" t="inlineStr">
        <is>
          <t>Effect of polymer viscosity on physicochemical properties and ocular tolerance of FB-loaded PLGA nanospheres</t>
        </is>
      </c>
      <c r="D233" t="inlineStr">
        <is>
          <t>F2</t>
        </is>
      </c>
      <c r="E233" s="3" t="inlineStr">
        <is>
          <t>flurbiprofen</t>
        </is>
      </c>
      <c r="F233" s="4" t="inlineStr"/>
      <c r="G233" s="3" t="inlineStr"/>
      <c r="H233" s="4" t="inlineStr">
        <is>
          <t>yes</t>
        </is>
      </c>
      <c r="I233" s="4" t="inlineStr">
        <is>
          <t>medium</t>
        </is>
      </c>
      <c r="J233" s="4" t="inlineStr">
        <is>
          <t>pending</t>
        </is>
      </c>
      <c r="K233" s="3" t="inlineStr">
        <is>
          <t>cPLGA = 9 mg/mL, pH = 3.50. Low viscosity PLGA (0.32–0.44 dL/g).</t>
        </is>
      </c>
      <c r="L233">
        <f>IF(OR($F233="",$H233="",$I233="",$J233=""),"missing_required","")</f>
        <v/>
      </c>
      <c r="M233">
        <f>IF(COUNTIFS($A:$A,$A233,$D:$D,$D233)&gt;1,"duplicate_id","")</f>
        <v/>
      </c>
    </row>
    <row r="234">
      <c r="A234" t="inlineStr">
        <is>
          <t>YGA8VQKU</t>
        </is>
      </c>
      <c r="B234" t="inlineStr">
        <is>
          <t>10.1016/j.colsurfb.2009.03.028</t>
        </is>
      </c>
      <c r="C234" s="2" t="inlineStr">
        <is>
          <t>Effect of polymer viscosity on physicochemical properties and ocular tolerance of FB-loaded PLGA nanospheres</t>
        </is>
      </c>
      <c r="D234" t="inlineStr">
        <is>
          <t>F2_stability_Day 1</t>
        </is>
      </c>
      <c r="E234" s="3" t="inlineStr">
        <is>
          <t>flurbiprofen</t>
        </is>
      </c>
      <c r="F234" s="4" t="inlineStr"/>
      <c r="G234" s="3" t="inlineStr"/>
      <c r="H234" s="4" t="inlineStr">
        <is>
          <t>yes</t>
        </is>
      </c>
      <c r="I234" s="4" t="inlineStr">
        <is>
          <t>medium</t>
        </is>
      </c>
      <c r="J234" s="4" t="inlineStr">
        <is>
          <t>pending</t>
        </is>
      </c>
      <c r="K234" s="3" t="inlineStr">
        <is>
          <t>Low viscosity PLGA (0.32–0.44 dL/g) stability data. Storage time: Day 1. cPLGA = 9 mg/mL, pH = 3.50. Low viscosity PLGA (0.32–0.44 dL/g).</t>
        </is>
      </c>
      <c r="L234">
        <f>IF(OR($F234="",$H234="",$I234="",$J234=""),"missing_required","")</f>
        <v/>
      </c>
      <c r="M234">
        <f>IF(COUNTIFS($A:$A,$A234,$D:$D,$D234)&gt;1,"duplicate_id","")</f>
        <v/>
      </c>
    </row>
    <row r="235">
      <c r="A235" t="inlineStr">
        <is>
          <t>YGA8VQKU</t>
        </is>
      </c>
      <c r="B235" t="inlineStr">
        <is>
          <t>10.1016/j.colsurfb.2009.03.028</t>
        </is>
      </c>
      <c r="C235" s="2" t="inlineStr">
        <is>
          <t>Effect of polymer viscosity on physicochemical properties and ocular tolerance of FB-loaded PLGA nanospheres</t>
        </is>
      </c>
      <c r="D235" t="inlineStr">
        <is>
          <t>F2_stability_Day 15</t>
        </is>
      </c>
      <c r="E235" s="3" t="inlineStr">
        <is>
          <t>flurbiprofen</t>
        </is>
      </c>
      <c r="F235" s="4" t="inlineStr"/>
      <c r="G235" s="3" t="inlineStr"/>
      <c r="H235" s="4" t="inlineStr">
        <is>
          <t>yes</t>
        </is>
      </c>
      <c r="I235" s="4" t="inlineStr">
        <is>
          <t>medium</t>
        </is>
      </c>
      <c r="J235" s="4" t="inlineStr">
        <is>
          <t>pending</t>
        </is>
      </c>
      <c r="K235" s="3" t="inlineStr">
        <is>
          <t>Low viscosity PLGA (0.32–0.44 dL/g) stability data. Storage time: Day 15. cPLGA = 9 mg/mL, pH = 3.50. Low viscosity PLGA (0.32–0.44 dL/g).</t>
        </is>
      </c>
      <c r="L235">
        <f>IF(OR($F235="",$H235="",$I235="",$J235=""),"missing_required","")</f>
        <v/>
      </c>
      <c r="M235">
        <f>IF(COUNTIFS($A:$A,$A235,$D:$D,$D235)&gt;1,"duplicate_id","")</f>
        <v/>
      </c>
    </row>
    <row r="236">
      <c r="A236" t="inlineStr">
        <is>
          <t>YGA8VQKU</t>
        </is>
      </c>
      <c r="B236" t="inlineStr">
        <is>
          <t>10.1016/j.colsurfb.2009.03.028</t>
        </is>
      </c>
      <c r="C236" s="2" t="inlineStr">
        <is>
          <t>Effect of polymer viscosity on physicochemical properties and ocular tolerance of FB-loaded PLGA nanospheres</t>
        </is>
      </c>
      <c r="D236" t="inlineStr">
        <is>
          <t>F2_stability_Day 7</t>
        </is>
      </c>
      <c r="E236" s="3" t="inlineStr">
        <is>
          <t>flurbiprofen</t>
        </is>
      </c>
      <c r="F236" s="4" t="inlineStr"/>
      <c r="G236" s="3" t="inlineStr"/>
      <c r="H236" s="4" t="inlineStr">
        <is>
          <t>yes</t>
        </is>
      </c>
      <c r="I236" s="4" t="inlineStr">
        <is>
          <t>medium</t>
        </is>
      </c>
      <c r="J236" s="4" t="inlineStr">
        <is>
          <t>pending</t>
        </is>
      </c>
      <c r="K236" s="3" t="inlineStr">
        <is>
          <t>Low viscosity PLGA (0.32–0.44 dL/g) stability data. Storage time: Day 7. cPLGA = 9 mg/mL, pH = 3.50. Low viscosity PLGA (0.32–0.44 dL/g).</t>
        </is>
      </c>
      <c r="L236">
        <f>IF(OR($F236="",$H236="",$I236="",$J236=""),"missing_required","")</f>
        <v/>
      </c>
      <c r="M236">
        <f>IF(COUNTIFS($A:$A,$A236,$D:$D,$D236)&gt;1,"duplicate_id","")</f>
        <v/>
      </c>
    </row>
    <row r="237">
      <c r="A237" t="inlineStr">
        <is>
          <t>YGA8VQKU</t>
        </is>
      </c>
      <c r="B237" t="inlineStr">
        <is>
          <t>10.1016/j.colsurfb.2009.03.028</t>
        </is>
      </c>
      <c r="C237" s="2" t="inlineStr">
        <is>
          <t>Effect of polymer viscosity on physicochemical properties and ocular tolerance of FB-loaded PLGA nanospheres</t>
        </is>
      </c>
      <c r="D237" t="inlineStr">
        <is>
          <t>F2_stability_Day 75</t>
        </is>
      </c>
      <c r="E237" s="3" t="inlineStr">
        <is>
          <t>flurbiprofen</t>
        </is>
      </c>
      <c r="F237" s="4" t="inlineStr"/>
      <c r="G237" s="3" t="inlineStr"/>
      <c r="H237" s="4" t="inlineStr">
        <is>
          <t>yes</t>
        </is>
      </c>
      <c r="I237" s="4" t="inlineStr">
        <is>
          <t>medium</t>
        </is>
      </c>
      <c r="J237" s="4" t="inlineStr">
        <is>
          <t>pending</t>
        </is>
      </c>
      <c r="K237" s="3" t="inlineStr">
        <is>
          <t>Low viscosity PLGA (0.32–0.44 dL/g) stability data. Storage time: Day 75. cPLGA = 9 mg/mL, pH = 3.50. Low viscosity PLGA (0.32–0.44 dL/g).</t>
        </is>
      </c>
      <c r="L237">
        <f>IF(OR($F237="",$H237="",$I237="",$J237=""),"missing_required","")</f>
        <v/>
      </c>
      <c r="M237">
        <f>IF(COUNTIFS($A:$A,$A237,$D:$D,$D237)&gt;1,"duplicate_id","")</f>
        <v/>
      </c>
    </row>
    <row r="238">
      <c r="A238" t="inlineStr">
        <is>
          <t>YGA8VQKU</t>
        </is>
      </c>
      <c r="B238" t="inlineStr">
        <is>
          <t>10.1016/j.colsurfb.2009.03.028</t>
        </is>
      </c>
      <c r="C238" s="2" t="inlineStr">
        <is>
          <t>Effect of polymer viscosity on physicochemical properties and ocular tolerance of FB-loaded PLGA nanospheres</t>
        </is>
      </c>
      <c r="D238" t="inlineStr">
        <is>
          <t>F3</t>
        </is>
      </c>
      <c r="E238" s="3" t="inlineStr">
        <is>
          <t>flurbiprofen</t>
        </is>
      </c>
      <c r="F238" s="4" t="inlineStr"/>
      <c r="G238" s="3" t="inlineStr"/>
      <c r="H238" s="4" t="inlineStr">
        <is>
          <t>yes</t>
        </is>
      </c>
      <c r="I238" s="4" t="inlineStr">
        <is>
          <t>medium</t>
        </is>
      </c>
      <c r="J238" s="4" t="inlineStr">
        <is>
          <t>pending</t>
        </is>
      </c>
      <c r="K238" s="3" t="inlineStr">
        <is>
          <t>cPLGA = 9 mg/mL, pH = 3.50.</t>
        </is>
      </c>
      <c r="L238">
        <f>IF(OR($F238="",$H238="",$I238="",$J238=""),"missing_required","")</f>
        <v/>
      </c>
      <c r="M238">
        <f>IF(COUNTIFS($A:$A,$A238,$D:$D,$D238)&gt;1,"duplicate_id","")</f>
        <v/>
      </c>
    </row>
    <row r="239">
      <c r="A239" t="inlineStr">
        <is>
          <t>YGA8VQKU</t>
        </is>
      </c>
      <c r="B239" t="inlineStr">
        <is>
          <t>10.1016/j.colsurfb.2009.03.028</t>
        </is>
      </c>
      <c r="C239" s="2" t="inlineStr">
        <is>
          <t>Effect of polymer viscosity on physicochemical properties and ocular tolerance of FB-loaded PLGA nanospheres</t>
        </is>
      </c>
      <c r="D239" t="inlineStr">
        <is>
          <t>F4</t>
        </is>
      </c>
      <c r="E239" s="3" t="inlineStr">
        <is>
          <t>flurbiprofen</t>
        </is>
      </c>
      <c r="F239" s="4" t="inlineStr"/>
      <c r="G239" s="3" t="inlineStr"/>
      <c r="H239" s="4" t="inlineStr">
        <is>
          <t>yes</t>
        </is>
      </c>
      <c r="I239" s="4" t="inlineStr">
        <is>
          <t>medium</t>
        </is>
      </c>
      <c r="J239" s="4" t="inlineStr">
        <is>
          <t>pending</t>
        </is>
      </c>
      <c r="K239" s="3" t="inlineStr">
        <is>
          <t>cPLGA = 9 mg/mL, pH = 3.50.</t>
        </is>
      </c>
      <c r="L239">
        <f>IF(OR($F239="",$H239="",$I239="",$J239=""),"missing_required","")</f>
        <v/>
      </c>
      <c r="M239">
        <f>IF(COUNTIFS($A:$A,$A239,$D:$D,$D239)&gt;1,"duplicate_id","")</f>
        <v/>
      </c>
    </row>
    <row r="240">
      <c r="A240" t="inlineStr">
        <is>
          <t>YGA8VQKU</t>
        </is>
      </c>
      <c r="B240" t="inlineStr">
        <is>
          <t>10.1016/j.colsurfb.2009.03.028</t>
        </is>
      </c>
      <c r="C240" s="2" t="inlineStr">
        <is>
          <t>Effect of polymer viscosity on physicochemical properties and ocular tolerance of FB-loaded PLGA nanospheres</t>
        </is>
      </c>
      <c r="D240" t="inlineStr">
        <is>
          <t>F5</t>
        </is>
      </c>
      <c r="E240" s="3" t="inlineStr">
        <is>
          <t>flurbiprofen</t>
        </is>
      </c>
      <c r="F240" s="4" t="inlineStr"/>
      <c r="G240" s="3" t="inlineStr"/>
      <c r="H240" s="4" t="inlineStr">
        <is>
          <t>yes</t>
        </is>
      </c>
      <c r="I240" s="4" t="inlineStr">
        <is>
          <t>medium</t>
        </is>
      </c>
      <c r="J240" s="4" t="inlineStr">
        <is>
          <t>pending</t>
        </is>
      </c>
      <c r="K240" s="3" t="inlineStr">
        <is>
          <t>cPLGA = 9 mg/mL, pH = 5.50.</t>
        </is>
      </c>
      <c r="L240">
        <f>IF(OR($F240="",$H240="",$I240="",$J240=""),"missing_required","")</f>
        <v/>
      </c>
      <c r="M240">
        <f>IF(COUNTIFS($A:$A,$A240,$D:$D,$D240)&gt;1,"duplicate_id","")</f>
        <v/>
      </c>
    </row>
    <row r="241">
      <c r="A241" t="inlineStr">
        <is>
          <t>YGA8VQKU</t>
        </is>
      </c>
      <c r="B241" t="inlineStr">
        <is>
          <t>10.1016/j.colsurfb.2009.03.028</t>
        </is>
      </c>
      <c r="C241" s="2" t="inlineStr">
        <is>
          <t>Effect of polymer viscosity on physicochemical properties and ocular tolerance of FB-loaded PLGA nanospheres</t>
        </is>
      </c>
      <c r="D241" t="inlineStr">
        <is>
          <t>F6</t>
        </is>
      </c>
      <c r="E241" s="3" t="inlineStr">
        <is>
          <t>flurbiprofen</t>
        </is>
      </c>
      <c r="F241" s="4" t="inlineStr"/>
      <c r="G241" s="3" t="inlineStr"/>
      <c r="H241" s="4" t="inlineStr">
        <is>
          <t>yes</t>
        </is>
      </c>
      <c r="I241" s="4" t="inlineStr">
        <is>
          <t>medium</t>
        </is>
      </c>
      <c r="J241" s="4" t="inlineStr">
        <is>
          <t>pending</t>
        </is>
      </c>
      <c r="K241" s="3" t="inlineStr">
        <is>
          <t>cPLGA = 9 mg/mL, pH = 5.50.</t>
        </is>
      </c>
      <c r="L241">
        <f>IF(OR($F241="",$H241="",$I241="",$J241=""),"missing_required","")</f>
        <v/>
      </c>
      <c r="M241">
        <f>IF(COUNTIFS($A:$A,$A241,$D:$D,$D241)&gt;1,"duplicate_id","")</f>
        <v/>
      </c>
    </row>
    <row r="242">
      <c r="A242" t="inlineStr">
        <is>
          <t>YGA8VQKU</t>
        </is>
      </c>
      <c r="B242" t="inlineStr">
        <is>
          <t>10.1016/j.colsurfb.2009.03.028</t>
        </is>
      </c>
      <c r="C242" s="2" t="inlineStr">
        <is>
          <t>Effect of polymer viscosity on physicochemical properties and ocular tolerance of FB-loaded PLGA nanospheres</t>
        </is>
      </c>
      <c r="D242" t="inlineStr">
        <is>
          <t>F7</t>
        </is>
      </c>
      <c r="E242" s="3" t="inlineStr">
        <is>
          <t>flurbiprofen</t>
        </is>
      </c>
      <c r="F242" s="4" t="inlineStr"/>
      <c r="G242" s="3" t="inlineStr"/>
      <c r="H242" s="4" t="inlineStr">
        <is>
          <t>yes</t>
        </is>
      </c>
      <c r="I242" s="4" t="inlineStr">
        <is>
          <t>medium</t>
        </is>
      </c>
      <c r="J242" s="4" t="inlineStr">
        <is>
          <t>pending</t>
        </is>
      </c>
      <c r="K242" s="3" t="inlineStr">
        <is>
          <t>cPLGA = 9 mg/mL, pH = 5.50.</t>
        </is>
      </c>
      <c r="L242">
        <f>IF(OR($F242="",$H242="",$I242="",$J242=""),"missing_required","")</f>
        <v/>
      </c>
      <c r="M242">
        <f>IF(COUNTIFS($A:$A,$A242,$D:$D,$D242)&gt;1,"duplicate_id","")</f>
        <v/>
      </c>
    </row>
    <row r="243">
      <c r="A243" t="inlineStr">
        <is>
          <t>YGA8VQKU</t>
        </is>
      </c>
      <c r="B243" t="inlineStr">
        <is>
          <t>10.1016/j.colsurfb.2009.03.028</t>
        </is>
      </c>
      <c r="C243" s="2" t="inlineStr">
        <is>
          <t>Effect of polymer viscosity on physicochemical properties and ocular tolerance of FB-loaded PLGA nanospheres</t>
        </is>
      </c>
      <c r="D243" t="inlineStr">
        <is>
          <t>F8</t>
        </is>
      </c>
      <c r="E243" s="3" t="inlineStr">
        <is>
          <t>flurbiprofen</t>
        </is>
      </c>
      <c r="F243" s="4" t="inlineStr"/>
      <c r="G243" s="3" t="inlineStr"/>
      <c r="H243" s="4" t="inlineStr">
        <is>
          <t>yes</t>
        </is>
      </c>
      <c r="I243" s="4" t="inlineStr">
        <is>
          <t>medium</t>
        </is>
      </c>
      <c r="J243" s="4" t="inlineStr">
        <is>
          <t>pending</t>
        </is>
      </c>
      <c r="K243" s="3" t="inlineStr">
        <is>
          <t>cPLGA = 9 mg/mL, pH = 5.50.</t>
        </is>
      </c>
      <c r="L243">
        <f>IF(OR($F243="",$H243="",$I243="",$J243=""),"missing_required","")</f>
        <v/>
      </c>
      <c r="M243">
        <f>IF(COUNTIFS($A:$A,$A243,$D:$D,$D243)&gt;1,"duplicate_id","")</f>
        <v/>
      </c>
    </row>
    <row r="244">
      <c r="A244" t="inlineStr">
        <is>
          <t>YGA8VQKU</t>
        </is>
      </c>
      <c r="B244" t="inlineStr">
        <is>
          <t>10.1016/j.colsurfb.2009.03.028</t>
        </is>
      </c>
      <c r="C244" s="2" t="inlineStr">
        <is>
          <t>Effect of polymer viscosity on physicochemical properties and ocular tolerance of FB-loaded PLGA nanospheres</t>
        </is>
      </c>
      <c r="D244" t="inlineStr">
        <is>
          <t>F9</t>
        </is>
      </c>
      <c r="E244" s="3" t="inlineStr">
        <is>
          <t>flurbiprofen</t>
        </is>
      </c>
      <c r="F244" s="4" t="inlineStr"/>
      <c r="G244" s="3" t="inlineStr"/>
      <c r="H244" s="4" t="inlineStr">
        <is>
          <t>yes</t>
        </is>
      </c>
      <c r="I244" s="4" t="inlineStr">
        <is>
          <t>medium</t>
        </is>
      </c>
      <c r="J244" s="4" t="inlineStr">
        <is>
          <t>pending</t>
        </is>
      </c>
      <c r="K244" s="3" t="inlineStr">
        <is>
          <t>cPLGA = 9 mg/mL, pH = 4.50.</t>
        </is>
      </c>
      <c r="L244">
        <f>IF(OR($F244="",$H244="",$I244="",$J244=""),"missing_required","")</f>
        <v/>
      </c>
      <c r="M244">
        <f>IF(COUNTIFS($A:$A,$A244,$D:$D,$D244)&gt;1,"duplicate_id","")</f>
        <v/>
      </c>
    </row>
    <row r="245">
      <c r="A245" t="inlineStr">
        <is>
          <t>YGA8VQKU</t>
        </is>
      </c>
      <c r="B245" t="inlineStr">
        <is>
          <t>10.1016/j.colsurfb.2009.03.028</t>
        </is>
      </c>
      <c r="C245" s="2" t="inlineStr">
        <is>
          <t>Effect of polymer viscosity on physicochemical properties and ocular tolerance of FB-loaded PLGA nanospheres</t>
        </is>
      </c>
      <c r="D245" t="inlineStr">
        <is>
          <t>High Viscosity PLGA_Base</t>
        </is>
      </c>
      <c r="E245" s="3" t="inlineStr">
        <is>
          <t>flurbiprofen</t>
        </is>
      </c>
      <c r="F245" s="4" t="inlineStr"/>
      <c r="G245" s="3" t="inlineStr"/>
      <c r="H245" s="4" t="inlineStr">
        <is>
          <t>yes</t>
        </is>
      </c>
      <c r="I245" s="4" t="inlineStr">
        <is>
          <t>medium</t>
        </is>
      </c>
      <c r="J245" s="4" t="inlineStr">
        <is>
          <t>pending</t>
        </is>
      </c>
      <c r="K245" s="3" t="inlineStr">
        <is>
          <t>High viscosity PLGA (0.7–1.1 dL/g). Formulation details (cFB, cP188, pH, cPLGA) not explicitly stated for this specific comparison, as it's from a reference [24] for comparison. Emulsion solvent evaporation method assumed.</t>
        </is>
      </c>
      <c r="L245">
        <f>IF(OR($F245="",$H245="",$I245="",$J245=""),"missing_required","")</f>
        <v/>
      </c>
      <c r="M245">
        <f>IF(COUNTIFS($A:$A,$A245,$D:$D,$D245)&gt;1,"duplicate_id","")</f>
        <v/>
      </c>
    </row>
    <row r="246">
      <c r="A246" t="inlineStr">
        <is>
          <t>YGA8VQKU</t>
        </is>
      </c>
      <c r="B246" t="inlineStr">
        <is>
          <t>10.1016/j.colsurfb.2009.03.028</t>
        </is>
      </c>
      <c r="C246" s="2" t="inlineStr">
        <is>
          <t>Effect of polymer viscosity on physicochemical properties and ocular tolerance of FB-loaded PLGA nanospheres</t>
        </is>
      </c>
      <c r="D246" t="inlineStr">
        <is>
          <t>High_Viscosity_PLGA_stability_Day 1</t>
        </is>
      </c>
      <c r="E246" s="3" t="inlineStr">
        <is>
          <t>flurbiprofen</t>
        </is>
      </c>
      <c r="F246" s="4" t="inlineStr"/>
      <c r="G246" s="3" t="inlineStr"/>
      <c r="H246" s="4" t="inlineStr">
        <is>
          <t>yes</t>
        </is>
      </c>
      <c r="I246" s="4" t="inlineStr">
        <is>
          <t>medium</t>
        </is>
      </c>
      <c r="J246" s="4" t="inlineStr">
        <is>
          <t>pending</t>
        </is>
      </c>
      <c r="K246" s="3" t="inlineStr">
        <is>
          <t>Storage time: Day 1. High viscosity PLGA (0.7–1.1 dL/g) stability data. Formulation details (cFB, cP188, pH, cPLGA) not explicitly stated for this specific comparison, as it's from a reference [24] for comparison. Emulsion solvent evaporation method assumed.</t>
        </is>
      </c>
      <c r="L246">
        <f>IF(OR($F246="",$H246="",$I246="",$J246=""),"missing_required","")</f>
        <v/>
      </c>
      <c r="M246">
        <f>IF(COUNTIFS($A:$A,$A246,$D:$D,$D246)&gt;1,"duplicate_id","")</f>
        <v/>
      </c>
    </row>
    <row r="247">
      <c r="A247" t="inlineStr">
        <is>
          <t>YGA8VQKU</t>
        </is>
      </c>
      <c r="B247" t="inlineStr">
        <is>
          <t>10.1016/j.colsurfb.2009.03.028</t>
        </is>
      </c>
      <c r="C247" s="2" t="inlineStr">
        <is>
          <t>Effect of polymer viscosity on physicochemical properties and ocular tolerance of FB-loaded PLGA nanospheres</t>
        </is>
      </c>
      <c r="D247" t="inlineStr">
        <is>
          <t>High_Viscosity_PLGA_stability_Day 15</t>
        </is>
      </c>
      <c r="E247" s="3" t="inlineStr">
        <is>
          <t>flurbiprofen</t>
        </is>
      </c>
      <c r="F247" s="4" t="inlineStr"/>
      <c r="G247" s="3" t="inlineStr"/>
      <c r="H247" s="4" t="inlineStr">
        <is>
          <t>yes</t>
        </is>
      </c>
      <c r="I247" s="4" t="inlineStr">
        <is>
          <t>medium</t>
        </is>
      </c>
      <c r="J247" s="4" t="inlineStr">
        <is>
          <t>pending</t>
        </is>
      </c>
      <c r="K247" s="3" t="inlineStr">
        <is>
          <t>Storage time: Day 15. High viscosity PLGA (0.7–1.1 dL/g) stability data. Formulation details (cFB, cP188, pH, cPLGA) not explicitly stated for this specific comparison, as it's from a reference [24] for comparison. Emulsion solvent evaporation method assumed.</t>
        </is>
      </c>
      <c r="L247">
        <f>IF(OR($F247="",$H247="",$I247="",$J247=""),"missing_required","")</f>
        <v/>
      </c>
      <c r="M247">
        <f>IF(COUNTIFS($A:$A,$A247,$D:$D,$D247)&gt;1,"duplicate_id","")</f>
        <v/>
      </c>
    </row>
    <row r="248">
      <c r="A248" t="inlineStr">
        <is>
          <t>YGA8VQKU</t>
        </is>
      </c>
      <c r="B248" t="inlineStr">
        <is>
          <t>10.1016/j.colsurfb.2009.03.028</t>
        </is>
      </c>
      <c r="C248" s="2" t="inlineStr">
        <is>
          <t>Effect of polymer viscosity on physicochemical properties and ocular tolerance of FB-loaded PLGA nanospheres</t>
        </is>
      </c>
      <c r="D248" t="inlineStr">
        <is>
          <t>High_Viscosity_PLGA_stability_Day 7</t>
        </is>
      </c>
      <c r="E248" s="3" t="inlineStr">
        <is>
          <t>flurbiprofen</t>
        </is>
      </c>
      <c r="F248" s="4" t="inlineStr"/>
      <c r="G248" s="3" t="inlineStr"/>
      <c r="H248" s="4" t="inlineStr">
        <is>
          <t>yes</t>
        </is>
      </c>
      <c r="I248" s="4" t="inlineStr">
        <is>
          <t>medium</t>
        </is>
      </c>
      <c r="J248" s="4" t="inlineStr">
        <is>
          <t>pending</t>
        </is>
      </c>
      <c r="K248" s="3" t="inlineStr">
        <is>
          <t>Storage time: Day 7. High viscosity PLGA (0.7–1.1 dL/g) stability data. Formulation details (cFB, cP188, pH, cPLGA) not explicitly stated for this specific comparison, as it's from a reference [24] for comparison. Emulsion solvent evaporation method assumed.</t>
        </is>
      </c>
      <c r="L248">
        <f>IF(OR($F248="",$H248="",$I248="",$J248=""),"missing_required","")</f>
        <v/>
      </c>
      <c r="M248">
        <f>IF(COUNTIFS($A:$A,$A248,$D:$D,$D248)&gt;1,"duplicate_id","")</f>
        <v/>
      </c>
    </row>
    <row r="249">
      <c r="A249" t="inlineStr">
        <is>
          <t>YGA8VQKU</t>
        </is>
      </c>
      <c r="B249" t="inlineStr">
        <is>
          <t>10.1016/j.colsurfb.2009.03.028</t>
        </is>
      </c>
      <c r="C249" s="2" t="inlineStr">
        <is>
          <t>Effect of polymer viscosity on physicochemical properties and ocular tolerance of FB-loaded PLGA nanospheres</t>
        </is>
      </c>
      <c r="D249" t="inlineStr">
        <is>
          <t>High_Viscosity_PLGA_stability_Day 75</t>
        </is>
      </c>
      <c r="E249" s="3" t="inlineStr">
        <is>
          <t>flurbiprofen</t>
        </is>
      </c>
      <c r="F249" s="4" t="inlineStr"/>
      <c r="G249" s="3" t="inlineStr"/>
      <c r="H249" s="4" t="inlineStr">
        <is>
          <t>yes</t>
        </is>
      </c>
      <c r="I249" s="4" t="inlineStr">
        <is>
          <t>medium</t>
        </is>
      </c>
      <c r="J249" s="4" t="inlineStr">
        <is>
          <t>pending</t>
        </is>
      </c>
      <c r="K249" s="3" t="inlineStr">
        <is>
          <t>Storage time: Day 75. High viscosity PLGA (0.7–1.1 dL/g) stability data. Formulation details (cFB, cP188, pH, cPLGA) not explicitly stated for this specific comparison, as it's from a reference [24] for comparison. Emulsion solvent evaporation method assumed.</t>
        </is>
      </c>
      <c r="L249">
        <f>IF(OR($F249="",$H249="",$I249="",$J249=""),"missing_required","")</f>
        <v/>
      </c>
      <c r="M249">
        <f>IF(COUNTIFS($A:$A,$A249,$D:$D,$D249)&gt;1,"duplicate_id","")</f>
        <v/>
      </c>
    </row>
  </sheetData>
  <sheetProtection selectLockedCells="0" selectUnlockedCells="0" sheet="1" objects="0" insertRows="1" insertHyperlinks="1" autoFilter="1" scenarios="0" formatColumns="1" deleteColumns="1" insertColumns="1" pivotTables="1" deleteRows="1" formatCells="1" formatRows="1" sort="1"/>
  <autoFilter ref="A1:M249"/>
  <conditionalFormatting sqref="A2:K249">
    <cfRule type="expression" priority="1" dxfId="0">
      <formula>=OR($F2="",$H2="",$I2="",$J2="")</formula>
    </cfRule>
    <cfRule type="expression" priority="2" dxfId="1">
      <formula>=OR($H2="uncertain",$J2="needs_second_pass",$I2="low")</formula>
    </cfRule>
  </conditionalFormatting>
  <conditionalFormatting sqref="D2:D249">
    <cfRule type="expression" priority="3" dxfId="2">
      <formula>=COUNTIFS($A:$A,$A2,$D:$D,$D2)&gt;1</formula>
    </cfRule>
  </conditionalFormatting>
  <dataValidations count="4">
    <dataValidation sqref="F2:F249" showDropDown="0" showInputMessage="0" showErrorMessage="0" allowBlank="1" type="list">
      <formula1>=dropdown_options!$A$2:$A$6</formula1>
    </dataValidation>
    <dataValidation sqref="H2:H249" showDropDown="0" showInputMessage="0" showErrorMessage="0" allowBlank="1" type="list">
      <formula1>=dropdown_options!$B$2:$B$4</formula1>
    </dataValidation>
    <dataValidation sqref="I2:I249" showDropDown="0" showInputMessage="0" showErrorMessage="0" allowBlank="1" type="list">
      <formula1>=dropdown_options!$C$2:$C$4</formula1>
    </dataValidation>
    <dataValidation sqref="J2:J249" showDropDown="0" showInputMessage="0" showErrorMessage="0" allowBlank="1" type="list">
      <formula1>=dropdown_options!$D$2:$D$4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source_type_options</t>
        </is>
      </c>
      <c r="B1" t="inlineStr">
        <is>
          <t>formulation_exists_gt_options</t>
        </is>
      </c>
      <c r="C1" t="inlineStr">
        <is>
          <t>formulation_boundary_confidence_options</t>
        </is>
      </c>
      <c r="D1" t="inlineStr">
        <is>
          <t>review_status_options</t>
        </is>
      </c>
    </row>
    <row r="2">
      <c r="A2" t="inlineStr">
        <is>
          <t>table_row</t>
        </is>
      </c>
      <c r="B2" t="inlineStr">
        <is>
          <t>yes</t>
        </is>
      </c>
      <c r="C2" t="inlineStr">
        <is>
          <t>high</t>
        </is>
      </c>
      <c r="D2" t="inlineStr">
        <is>
          <t>pending</t>
        </is>
      </c>
    </row>
    <row r="3">
      <c r="A3" t="inlineStr">
        <is>
          <t>explicit_label</t>
        </is>
      </c>
      <c r="B3" t="inlineStr">
        <is>
          <t>no</t>
        </is>
      </c>
      <c r="C3" t="inlineStr">
        <is>
          <t>medium</t>
        </is>
      </c>
      <c r="D3" t="inlineStr">
        <is>
          <t>reviewed</t>
        </is>
      </c>
    </row>
    <row r="4">
      <c r="A4" t="inlineStr">
        <is>
          <t>text_described</t>
        </is>
      </c>
      <c r="B4" t="inlineStr">
        <is>
          <t>uncertain</t>
        </is>
      </c>
      <c r="C4" t="inlineStr">
        <is>
          <t>low</t>
        </is>
      </c>
      <c r="D4" t="inlineStr">
        <is>
          <t>needs_second_pass</t>
        </is>
      </c>
    </row>
    <row r="5">
      <c r="A5" t="inlineStr">
        <is>
          <t>inherited</t>
        </is>
      </c>
    </row>
    <row r="6">
      <c r="A6" t="inlineStr">
        <is>
          <t>mixed_or_unclear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pane ySplit="2" topLeftCell="A3" activePane="bottomLeft" state="frozen"/>
      <selection pane="bottomLeft" activeCell="A1" sqref="A1"/>
    </sheetView>
  </sheetViews>
  <sheetFormatPr baseColWidth="8" defaultRowHeight="15"/>
  <cols>
    <col width="130" customWidth="1" min="1" max="1"/>
  </cols>
  <sheetData>
    <row r="1">
      <c r="A1" s="5" t="inlineStr">
        <is>
          <t>DEV15 Formulation Skeleton Review Instructions</t>
        </is>
      </c>
    </row>
    <row r="3">
      <c r="A3" t="inlineStr">
        <is>
          <t>Purpose: DEV-only formulation skeleton curation for debugging, not final publication benchmark.</t>
        </is>
      </c>
    </row>
    <row r="4">
      <c r="A4" t="inlineStr">
        <is>
          <t>Review mostly by dropdown selection; keep notes short and optional.</t>
        </is>
      </c>
    </row>
    <row r="5">
      <c r="A5" t="inlineStr">
        <is>
          <t>Columns to review: source_type, formulation_exists_gt, formulation_boundary_confidence, review_status.</t>
        </is>
      </c>
    </row>
    <row r="6">
      <c r="A6" t="inlineStr">
        <is>
          <t>Stable IDs are prefilled as {paper_key}_F## and should normally remain unchanged.</t>
        </is>
      </c>
    </row>
    <row r="7">
      <c r="A7" t="inlineStr">
        <is>
          <t>Set review_status=reviewed when a row is finalized.</t>
        </is>
      </c>
    </row>
    <row r="8">
      <c r="A8" t="inlineStr">
        <is>
          <t>Use needs_second_pass for rows that require another reviewer.</t>
        </is>
      </c>
    </row>
    <row r="9">
      <c r="A9" t="inlineStr">
        <is>
          <t>Conditional colors: yellow=missing required dropdown; red=uncertain/second-pass; dark red=id duplicate within paper.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4" customWidth="1" min="1" max="1"/>
    <col width="24" customWidth="1" min="2" max="2"/>
    <col width="45" customWidth="1" min="3" max="3"/>
    <col width="16" customWidth="1" min="4" max="4"/>
    <col width="80" customWidth="1" min="6" max="6"/>
  </cols>
  <sheetData>
    <row r="1">
      <c r="A1" t="inlineStr">
        <is>
          <t>paper_key</t>
        </is>
      </c>
      <c r="B1" t="inlineStr">
        <is>
          <t>doi</t>
        </is>
      </c>
      <c r="C1" t="inlineStr">
        <is>
          <t>paper_title</t>
        </is>
      </c>
      <c r="D1" t="inlineStr">
        <is>
          <t>candidate_rows</t>
        </is>
      </c>
      <c r="F1" t="inlineStr">
        <is>
          <t>candidate_source_path</t>
        </is>
      </c>
    </row>
    <row r="2">
      <c r="A2" t="inlineStr">
        <is>
          <t>5GIF3D8W</t>
        </is>
      </c>
      <c r="B2" t="inlineStr">
        <is>
          <t>10.1080/10717540802174662</t>
        </is>
      </c>
      <c r="C2" t="inlineStr">
        <is>
          <t>Etoposide-Loaded PLGA and PCL Nanoparticles I: Preparation and Effect of Formulation Variables</t>
        </is>
      </c>
      <c r="D2" t="n">
        <v>32</v>
      </c>
      <c r="F2" t="inlineStr">
        <is>
          <t>C:\Users\tianc\Downloads\GitHub\RL-Agent-Extraction-PLGANPs\data\results\run_20260227_1016_a8d884b_goren2025_step1dev_v1\step1_dev\weak_labels__gemini_flashlite.tsv</t>
        </is>
      </c>
    </row>
    <row r="3">
      <c r="A3" t="inlineStr">
        <is>
          <t>5ZXYABSU</t>
        </is>
      </c>
      <c r="B3" t="inlineStr">
        <is>
          <t>10.2147/ijn.s130908</t>
        </is>
      </c>
      <c r="C3" t="inlineStr">
        <is>
          <t>Surface-modified gatifloxacin nanoparticles with potential for treating central nervous system tuberculosis</t>
        </is>
      </c>
      <c r="D3" t="n">
        <v>9</v>
      </c>
    </row>
    <row r="4">
      <c r="A4" t="inlineStr">
        <is>
          <t>7ZS858NS</t>
        </is>
      </c>
      <c r="B4" t="inlineStr">
        <is>
          <t>10.1021/acsomega.0c00111</t>
        </is>
      </c>
      <c r="C4" t="inlineStr">
        <is>
          <t>Developing Biodegradable Nanoparticles Loaded with Mometasone Furoate for Potential Nasal Drug Delivery</t>
        </is>
      </c>
      <c r="D4" t="n">
        <v>7</v>
      </c>
    </row>
    <row r="5">
      <c r="A5" t="inlineStr">
        <is>
          <t>BB3JUVW7</t>
        </is>
      </c>
      <c r="B5" t="inlineStr">
        <is>
          <t>10.1016/j.ijpharm.2021.120820</t>
        </is>
      </c>
      <c r="C5" t="inlineStr">
        <is>
          <t>Fabrication and evaluation of artemether loaded polymeric nanorods obtained by mechanical stretching of nanospheres</t>
        </is>
      </c>
      <c r="D5" t="n">
        <v>12</v>
      </c>
    </row>
    <row r="6">
      <c r="A6" t="inlineStr">
        <is>
          <t>BXCV5XWB</t>
        </is>
      </c>
      <c r="B6" t="inlineStr">
        <is>
          <t>10.1007/s10439-019-02430-x</t>
        </is>
      </c>
      <c r="C6" t="inlineStr">
        <is>
          <t>Effects of Nanoparticle Properties on Kartogenin Delivery and Interactions with Mesenchymal Stem Cells</t>
        </is>
      </c>
      <c r="D6" t="n">
        <v>3</v>
      </c>
    </row>
    <row r="7">
      <c r="A7" t="inlineStr">
        <is>
          <t>INMUTV7L</t>
        </is>
      </c>
      <c r="B7" t="inlineStr">
        <is>
          <t>10.3390/nano10040720</t>
        </is>
      </c>
      <c r="C7" t="inlineStr">
        <is>
          <t>Dexibuprofen Biodegradable Nanoparticles: One Step Closer towards a Better Ocular Interaction Study</t>
        </is>
      </c>
      <c r="D7" t="n">
        <v>12</v>
      </c>
    </row>
    <row r="8">
      <c r="A8" t="inlineStr">
        <is>
          <t>L3H2RS2H</t>
        </is>
      </c>
      <c r="B8" t="inlineStr">
        <is>
          <t>10.1016/j.ejpb.2004.09.002</t>
        </is>
      </c>
      <c r="C8" t="inlineStr">
        <is>
          <t>Development and characterization of PLGA nanospheres and nanocapsules containing xanthone and 3-methoxyxanthone</t>
        </is>
      </c>
      <c r="D8" t="n">
        <v>22</v>
      </c>
    </row>
    <row r="9">
      <c r="A9" t="inlineStr">
        <is>
          <t>PA3SPZ28</t>
        </is>
      </c>
      <c r="B9" t="inlineStr">
        <is>
          <t>10.1038/s41598-017-00696-6</t>
        </is>
      </c>
      <c r="C9" t="inlineStr">
        <is>
          <t>Garcinol loaded vitamin E TPGS emulsified PLGA nanoparticles: preparation, physicochemical characterization, in vitro and in vivo studies</t>
        </is>
      </c>
      <c r="D9" t="n">
        <v>4</v>
      </c>
    </row>
    <row r="10">
      <c r="A10" t="inlineStr">
        <is>
          <t>QLYKLPKT</t>
        </is>
      </c>
      <c r="B10" t="inlineStr">
        <is>
          <t>10.2147/ijn.s54040</t>
        </is>
      </c>
      <c r="C10" t="inlineStr">
        <is>
          <t>Development of PLGA-based itraconazole injectable nanospheres for sustained release</t>
        </is>
      </c>
      <c r="D10" t="n">
        <v>38</v>
      </c>
    </row>
    <row r="11">
      <c r="A11" t="inlineStr">
        <is>
          <t>RHMJWZX8</t>
        </is>
      </c>
      <c r="B11" t="inlineStr">
        <is>
          <t>10.1111/jphp.12481</t>
        </is>
      </c>
      <c r="C11" t="inlineStr">
        <is>
          <t>Polysorbate 80-coated PLGA nanoparticles improve the permeability of acetylpuerarin and enhance its brain-protective effects in rats</t>
        </is>
      </c>
      <c r="D11" t="n">
        <v>1</v>
      </c>
    </row>
    <row r="12">
      <c r="A12" t="inlineStr">
        <is>
          <t>UFXX9WXE</t>
        </is>
      </c>
      <c r="B12" t="inlineStr">
        <is>
          <t>10.1155/2014/156010</t>
        </is>
      </c>
      <c r="C12" t="inlineStr">
        <is>
          <t>Formulation and Optimization of Polymeric Nanoparticles for Intranasal Delivery of Lorazepam Using Box-Behnken Design: &lt;i&gt;In Vitro&lt;/i&gt; and &lt;i&gt;In Vivo&lt;/i&gt; Evaluation</t>
        </is>
      </c>
      <c r="D12" t="n">
        <v>8</v>
      </c>
    </row>
    <row r="13">
      <c r="A13" t="inlineStr">
        <is>
          <t>V99GKZEI</t>
        </is>
      </c>
      <c r="B13" t="inlineStr">
        <is>
          <t>10.1039/c5ra27386b</t>
        </is>
      </c>
      <c r="C13" t="inlineStr">
        <is>
          <t>Nanospheres based on PLGA/amphiphilic cyclodextrin assemblies as potential enhancers of Methylene Blue neuroprotective effect</t>
        </is>
      </c>
      <c r="D13" t="n">
        <v>6</v>
      </c>
    </row>
    <row r="14">
      <c r="A14" t="inlineStr">
        <is>
          <t>WFDTQ4VX</t>
        </is>
      </c>
      <c r="B14" t="inlineStr">
        <is>
          <t>10.1080/10717544.2016.1199605</t>
        </is>
      </c>
      <c r="C14" t="inlineStr">
        <is>
          <t>Bioavailability enhancement, Caco-2 cells uptake and intestinal transport of orally administered lopinavir-loaded PLGA nanoparticles</t>
        </is>
      </c>
      <c r="D14" t="n">
        <v>30</v>
      </c>
    </row>
    <row r="15">
      <c r="A15" t="inlineStr">
        <is>
          <t>WIVUCMYG</t>
        </is>
      </c>
      <c r="B15" t="inlineStr">
        <is>
          <t>10.1002/jps.24101</t>
        </is>
      </c>
      <c r="C15" t="inlineStr">
        <is>
          <t>Design of Nanosuspensions and Freeze-Dried PLGA Nanoparticles as a Novel Approach for Ophthalmic Delivery of Pranoprofen</t>
        </is>
      </c>
      <c r="D15" t="n">
        <v>29</v>
      </c>
    </row>
    <row r="16">
      <c r="A16" t="inlineStr">
        <is>
          <t>YGA8VQKU</t>
        </is>
      </c>
      <c r="B16" t="inlineStr">
        <is>
          <t>10.1016/j.colsurfb.2009.03.028</t>
        </is>
      </c>
      <c r="C16" t="inlineStr">
        <is>
          <t>Effect of polymer viscosity on physicochemical properties and ocular tolerance of FB-loaded PLGA nanospheres</t>
        </is>
      </c>
      <c r="D1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2026-03-09T17:18:28Z</dcterms:created>
  <dcterms:modified xmlns:dcterms="http://purl.org/dc/terms/" xmlns:xsi="http://www.w3.org/2001/XMLSchema-instance" xsi:type="dcterms:W3CDTF">2026-03-09T17:18:29Z</dcterms:modified>
</cp:coreProperties>
</file>