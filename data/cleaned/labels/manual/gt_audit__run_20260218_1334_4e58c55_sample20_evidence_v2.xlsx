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ianc\Downloads\GitHub\RL-Agent-Extraction-PLGANPs\data\cleaned\labels\manual\"/>
    </mc:Choice>
  </mc:AlternateContent>
  <xr:revisionPtr revIDLastSave="0" documentId="13_ncr:1_{2BDF6527-3490-4E65-BD6E-1FB7173E49B6}" xr6:coauthVersionLast="47" xr6:coauthVersionMax="47" xr10:uidLastSave="{00000000-0000-0000-0000-000000000000}"/>
  <bookViews>
    <workbookView xWindow="-38520" yWindow="-3480" windowWidth="38640" windowHeight="21120" xr2:uid="{00000000-000D-0000-FFFF-FFFF00000000}"/>
  </bookViews>
  <sheets>
    <sheet name="audit" sheetId="1" r:id="rId1"/>
    <sheet name="guidance" sheetId="2" r:id="rId2"/>
  </sheets>
  <calcPr calcId="0"/>
</workbook>
</file>

<file path=xl/sharedStrings.xml><?xml version="1.0" encoding="utf-8"?>
<sst xmlns="http://schemas.openxmlformats.org/spreadsheetml/2006/main" count="423" uniqueCount="164">
  <si>
    <t>run_id</t>
  </si>
  <si>
    <t>key</t>
  </si>
  <si>
    <t>formulation_id</t>
  </si>
  <si>
    <t>field_name</t>
  </si>
  <si>
    <t>extracted_value</t>
  </si>
  <si>
    <t>verifier_model</t>
  </si>
  <si>
    <t>verifier_policy</t>
  </si>
  <si>
    <t>verifier_verdict</t>
  </si>
  <si>
    <t>rule_gate_reason</t>
  </si>
  <si>
    <t>text_sha256</t>
  </si>
  <si>
    <t>evidence_section</t>
  </si>
  <si>
    <t>span_start</t>
  </si>
  <si>
    <t>span_end</t>
  </si>
  <si>
    <t>evidence_span_text</t>
  </si>
  <si>
    <t>decision_human</t>
  </si>
  <si>
    <t>gt_value_text</t>
  </si>
  <si>
    <t>notes_human</t>
  </si>
  <si>
    <t>run_20260218_1334_4e58c55_sample20_evidence_v2</t>
  </si>
  <si>
    <t>5838N7KH</t>
  </si>
  <si>
    <t>F4</t>
  </si>
  <si>
    <t>drug_feed_amount_text</t>
  </si>
  <si>
    <t>drug:polymer ratio 2:1</t>
  </si>
  <si>
    <t>gemini-2.5-flash-lite</t>
  </si>
  <si>
    <t>hybrid_v1</t>
  </si>
  <si>
    <t>contradicted</t>
  </si>
  <si>
    <t>1637131e9ca760378ebf9f90ae9b5086f571cfb3884d7b26b95894c3c719551e</t>
  </si>
  <si>
    <t>fulltext</t>
  </si>
  <si>
    <t>3129</t>
  </si>
  <si>
    <t>3548</t>
  </si>
  <si>
    <t>able polymer, poly(D,L-lactic-co-glycolic acid) (PLGA) as a sustained release carrier.
Material and Methods: PLGA nanoparticles (PLGA NPs) were prepared by a modiﬁed emulsiﬁcation
solvent evaporation technique. Subsequent study shows no interaction of GPZ with PLGA (FT-IR study).
Various formulation parameters such as stirring speed (300–3000 rpm), drug:polymer ratio (1:4 to 2:1),
with addition of surfactants (0.5%,</t>
  </si>
  <si>
    <t>CVT73IUM</t>
  </si>
  <si>
    <t>1</t>
  </si>
  <si>
    <t>emul_method</t>
  </si>
  <si>
    <t>probe sonication</t>
  </si>
  <si>
    <t>1598f139f14da471db83d1e46ab94120dd421750d0876d887aaf4ecfc8f52484</t>
  </si>
  <si>
    <t>1958</t>
  </si>
  <si>
    <t>2373</t>
  </si>
  <si>
    <t>Acid)–CUR nanoparticles (NPs) can reinforce the effect of MTX on breast cancer cells.
Materials and Methods: PLGA NPs containing CUR targeted with AS1411 aptamer were prepared by single
emulsion evaporation method. Physicochemical properties of NPs were investigated. The cytotoxicity of
non-targeted and targeted NPs along with MTX was evaluated on MCF7, 4T1 and L929 cell lines.
Results: The results showed that</t>
  </si>
  <si>
    <t>AKUZTCER</t>
  </si>
  <si>
    <t>C</t>
  </si>
  <si>
    <t>homogenization, high-pressure homogenization</t>
  </si>
  <si>
    <t>e08fb13fc8870de5498f435ef217d463b641d819b9c1b6ec1f11b21700f18112</t>
  </si>
  <si>
    <t>829</t>
  </si>
  <si>
    <t>1244</t>
  </si>
  <si>
    <t>actide-co-gycolide (PLGA) nanoparticles by breast cancer cells.
Methods Nanoparticles of PLGA containing various amounts of polyethylene
glycol (PEG, 5%–15%) were prepared using a double emulsion solvent evaporation
method. The nanoparticles were loaded with coumarin-6 (C6) as a ﬂuorescence
marker. The particles were characterized for surface morphology, particle size, zeta
potential, and for cellular uptake by</t>
  </si>
  <si>
    <t>2RNHC2M5</t>
  </si>
  <si>
    <t>Box-Behnken Design Run 3 (Std Order 2)</t>
  </si>
  <si>
    <t>encapsulation_efficiency_percent</t>
  </si>
  <si>
    <t>44.6</t>
  </si>
  <si>
    <t>2fe51e194a60eefabdc948b46f5bfff64288ec84860a68aa7cfe05a528ab0d7f</t>
  </si>
  <si>
    <t>prompt_text</t>
  </si>
  <si>
    <t>1706</t>
  </si>
  <si>
    <t>2310</t>
  </si>
  <si>
    <t>al optimum
values for the polymer concentration, surfactant concentration, and
homogenization speed were determined at 9.8 mg/mL, 50 mg/mL, and
23,000 rpm, respectively. Formulations obtained at this optimum preparing
condition resulted on average 96% yield, 61.2% drug encapsulation efﬁciency,
and 144.6 nm particle size. However, all prepared nanoparticles showed some
kind of controlled drug release; most likely the ﬁnal optimized nanoparticles
exhibited the most biphasic controlled drug release proﬁle with a minimal burst
release and overall drug release of &lt;30% in 120 h of incubation.
C⃝2012 Wil</t>
  </si>
  <si>
    <t>IBA6JD6Z</t>
  </si>
  <si>
    <t>Batch h</t>
  </si>
  <si>
    <t>plga_mass_mg</t>
  </si>
  <si>
    <t>100</t>
  </si>
  <si>
    <t>cae4d155d870a8f479403ea41524f455697c00b2dc0851af5d4f5dc55dd927b9</t>
  </si>
  <si>
    <t>19006</t>
  </si>
  <si>
    <t>19609</t>
  </si>
  <si>
    <t>wn in Table 3.
Nanomaterials 2022, 12, 229
6 of 21
Table 3. Experimental designs performed using the rapid emulsiﬁcation-diffusion method.
Design
Polymer
(mg)
OP Ratio
(v/v)
Stabilizer
(% w/v)
Stirring
Rate
(rpm)
Factors
Levels
1
PLGA (50:50)
(200 mg)
-
PVA (2%)
8000 a
OP ratio
75:25
50:50
25:75
0:100
Type of OP
THF-EtAc
ACE-MEK
2
Eudragit® E
100 (−-)
ACE-EtAc
PVA (2%)
2000 b
[Polymer]
200 mg
400 mg
800 mg
OP ratio
75:25
50:50
25:75
0:100
3
Eudragit® E
100 (200 mg)
-
PVA (2%)
2000 b
water
miscible
solvent in
the OP
ACE-EtAc
Et-EtAC
OP ratio
75:25
50:50
25:75
0:100
4
Eudragit® E
100 (200 mg)
Et-E</t>
  </si>
  <si>
    <t>T99PUUKJ</t>
  </si>
  <si>
    <t>13</t>
  </si>
  <si>
    <t>4.00% theoretical drug content</t>
  </si>
  <si>
    <t>insufficient</t>
  </si>
  <si>
    <t>23ef8bd50cd58ccdf40ced4ff5053b598037e94fa0a5f9b262e244f83fba4d3d</t>
  </si>
  <si>
    <t>1106</t>
  </si>
  <si>
    <t>1624</t>
  </si>
  <si>
    <t>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formulation and a total of twenty</t>
  </si>
  <si>
    <t>SLH2NS44</t>
  </si>
  <si>
    <t>F8</t>
  </si>
  <si>
    <t>100 mg MFH</t>
  </si>
  <si>
    <t>dd50042218988a1152f32ccd0f792ad2a7dfce13a442ffe81a27660f421e2870</t>
  </si>
  <si>
    <t>469</t>
  </si>
  <si>
    <t>884</t>
  </si>
  <si>
    <t>Richmond, VA 23298, USA
b Chemical and Life Science Engineering, College of Engineering, Virginia Commonwealth University, Richmond, VA 23220, USA
A R T I C L E  I N F O
Keywords:
Double emulsion
Solvent evaporation
Microfluidics
Hydrophilic drug encapsulation
Polymeric particles
PLGA
Metformin hydrochloride
Design of experiments
A B S T R A C T
The objective of this work was to investigate the effect of microfl</t>
  </si>
  <si>
    <t>A_stability_1M_40C_75RH</t>
  </si>
  <si>
    <t>high pressure homogenization followed by stirring (3000 rpm)</t>
  </si>
  <si>
    <t>A</t>
  </si>
  <si>
    <t>Stirring_3000rpm</t>
  </si>
  <si>
    <t>F3</t>
  </si>
  <si>
    <t>emul_type</t>
  </si>
  <si>
    <t>W/O/W</t>
  </si>
  <si>
    <t>F5</t>
  </si>
  <si>
    <t>A1</t>
  </si>
  <si>
    <t>EG99WW9F</t>
  </si>
  <si>
    <t>NP5</t>
  </si>
  <si>
    <t>99</t>
  </si>
  <si>
    <t>ab259ddf5504683c4c422c0157a78efb8c7c9f7ebbf2ad83e0da14f3e11616ae</t>
  </si>
  <si>
    <t>4937</t>
  </si>
  <si>
    <t>5539</t>
  </si>
  <si>
    <t>authors. Address: Department of Pharmacy and Pharmaceutical
Technology, University of Navarra, Pamplona 31008, Spain (M. J. Blanco-Prieto).
Tel.: +34 948425600; fax: +34 948425649.
E-mail addresses: ventosa@icmab.es (N. Ventosa), mjblanco@unav.es (M.J.
Blanco-Prieto).
Acta Biomaterialia 7 (2011) 1599–1608
Contents lists available at ScienceDirect
Acta Biomaterialia
journal homepage: www.elsevier.com/locate/actabiomat
bloodstream are rapidly taken up by the cells of the mononuclear
phagocytic system that recognize these particles as foreign [10].
This characteristic, which in many cases present</t>
  </si>
  <si>
    <t>Factorial Design Run 12 (Std Order 14)</t>
  </si>
  <si>
    <t>52.8</t>
  </si>
  <si>
    <t>15015</t>
  </si>
  <si>
    <t>15619</t>
  </si>
  <si>
    <t>364.1
10
2
50
10
87.4
57.4
737.9
9
3
30
10
73.0
53.3
1525.5
12
4
50
10
74.6
62.0
825.6
2
5
30
2.5
32.5
25.9
1007.0
4
6
50
2.5
43.1
31.4
889.4
5
7
50
2.5
37.7
28.6
769.5
8
8
30
10
70.5
49.6
1502.7
1
9
30
2.5
36.3
19.8
982.1
13
10
40
6.25
53.6
46.0
558.9
6
11
50
2.5
39.5
35.8
979.4
14
12
40
6.25
48.3
52.8
626.8
11
13
50
10
81.2
55.0
781.8
3
14
30
2.5
28.3
26.1
1103.9
n = 3.
TABLE II
Summary and ANOVA Table of the Factorial Design
Y1
Y2
Y3
Sum of
Adjusted
Sum of
Adjusted
Sum of
Adjusted
Source
Squares
p &gt; F
R2
Squares
p &gt; F
R2
Squares
p &gt; F
R
Model
5235.94
&lt;0.0001
0.9590
2484.49
&lt;0.0001
0.9276
8.172E</t>
  </si>
  <si>
    <t>LAA24SRQ</t>
  </si>
  <si>
    <t>loading_content_percent</t>
  </si>
  <si>
    <t>25</t>
  </si>
  <si>
    <t>fe9373be809446c4b67eaf61183108beef5932a31fcef2d156b13308f1589557</t>
  </si>
  <si>
    <t>86</t>
  </si>
  <si>
    <t>688</t>
  </si>
  <si>
    <t>.; Xu, L.; Song, X.;
Yan, R.; et al. PLGA-Encapsulated
Haemonchus contortus Antigen ES-15
Augments Immune Responses in a
Murine Model. Vaccines 2023, 11,
1794. https://doi.org/10.3390/
vaccines11121794
Academic Editors: Matteo Legnardi
and Claudia Maria Tucciarone
Received: 17 October 2023
Revised: 25 November 2023
Accepted: 27 November 2023
Published: 30 November 2023
Copyright:
© 2023 by the authors.
Licensee MDPI, Basel, Switzerland.
This article is an open access article
distributed
under
the
terms
and
conditions of the Creative Commons
Attribution (CC BY) license (https://
creativecommons.o</t>
  </si>
  <si>
    <t>A2</t>
  </si>
  <si>
    <t>3.1</t>
  </si>
  <si>
    <t>19827</t>
  </si>
  <si>
    <t>20430</t>
  </si>
  <si>
    <t>218 nm. The mobile
phase consisted of 100% ammonium phosphate buffer of pH = 3 at a
flow rate of 2.2 mL/min, run with isocratic conditions. The injection
volume was 20 μL and the retention time of MFH’s peak was 8.5 min.
The calibration curve was prepared at 10 µg/mL to 400 µg/mL of MFH.
3. Results
3.1. Primary emulsion variables effect on MFH-PLGA PP QAs
3.1.1. Primary emulsion preparation variables: DoE study
A two-level, full-factorial design (23) was developed to understand
the effect of the primary emulsion dispersion method (factor A), the drug
to polymer ratio (factor B), and PVA concentra</t>
  </si>
  <si>
    <t>20</t>
  </si>
  <si>
    <t>plga_mw_kDa</t>
  </si>
  <si>
    <t>114</t>
  </si>
  <si>
    <t>716</t>
  </si>
  <si>
    <t>1, Ting-xiong FuID1*, Ai-ping Deng1*, Xiang-yang Xie2
1 Department of Pharmacy, Central Hospital of Wuhan, Tongji Medical College, Huazhong University of
Science and Technology, Wuhan, Hubei, China, 2 Department of Pharmacy, General Hospital of Central
Theater of the PLA, Wuhan, Hubei, China
* ftx322005@163.com (TXF); 1986818536@qq.com (APD)
Abstract
Rheumatoid arthritis is considered a chronic systemic autoimmune disorder that may cause
joint destruction. Triptolide, an active component isolated from Tripterygium wilfordii Hook.
f., is considered to have promising potential for clinical use in</t>
  </si>
  <si>
    <t>15</t>
  </si>
  <si>
    <t>18</t>
  </si>
  <si>
    <t>4665</t>
  </si>
  <si>
    <t>5267</t>
  </si>
  <si>
    <t>All rights reserved.
* Corresponding author. Tel.: +91 9425522945; fax: +91 7712262832.
E-mail address: swarnlata_saraf@rediffmail.com (Swarnlata Saraf).
Contents lists available at ScienceDirect
Diabetes &amp; Metabolic Syndrome: Clinical Research &amp;
Reviews
journal homepage: http://diabetesindia.com/
1871-4021/$ – see front matter  2009 Diabetes India. Published by Elsevier Ltd. All rights reserved.
doi:10.1016/j.dsx.2009.04.003
drug properties, as well as the device characteristics (preparation
conditions, particle size, morphology, porosity and drug loading)
and the dissolution conditions [13,</t>
  </si>
  <si>
    <t>size_nm</t>
  </si>
  <si>
    <t>458800</t>
  </si>
  <si>
    <t>rule</t>
  </si>
  <si>
    <t>A5</t>
  </si>
  <si>
    <t>1010000</t>
  </si>
  <si>
    <t>Factorial Design Run 6 (Std Order 4)</t>
  </si>
  <si>
    <t>889.4</t>
  </si>
  <si>
    <t>0</t>
  </si>
  <si>
    <t>330</t>
  </si>
  <si>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</si>
  <si>
    <t>Design 2.4</t>
  </si>
  <si>
    <t>zeta_mV</t>
  </si>
  <si>
    <t>-5</t>
  </si>
  <si>
    <t>1135</t>
  </si>
  <si>
    <t>1737</t>
  </si>
  <si>
    <t>llege of Pharmacy, The University of Texas at Austin,
2409 University Avenue, Austin, TX 78712, USA; zubiaakhtar@utexas.edu (Z.A.);
gamensah@utexas.edu (G.A.-M.); braden.s.wu@gmail.com (B.W.)
* Correspondence: claraldominguezd@gmail.com (C.L.D.-D.); hugh.smyth@austin.utexas.edu (H.D.C.S.);
Tel.: +52-553-489-9461 (C.L.D.-D.); +1-512-471-3383 (H.D.C.S.)
Abstract: Emulsiﬁcation-diffusion method is often used to produce polymeric nanoparticles. How-
ever, their numerous and/or lengthy steps make it difﬁcult to use widely. Thus, a modiﬁed method
using solvent blends (miscible/partially miscible in wa</t>
  </si>
  <si>
    <t>B</t>
  </si>
  <si>
    <t>-6.57</t>
  </si>
  <si>
    <t>drug_name</t>
  </si>
  <si>
    <t>coumarin-6</t>
  </si>
  <si>
    <t>supported</t>
  </si>
  <si>
    <t>788</t>
  </si>
  <si>
    <t>1398</t>
  </si>
  <si>
    <t>he efﬁciency of uptake of
PEGylated polylactide-co-gycolide (PLGA) nanoparticles by breast cancer cells.
Methods Nanoparticles of PLGA containing various amounts of polyethylene
glycol (PEG, 5%–15%) were prepared using a double emulsion solvent evaporation
method. The nanoparticles were loaded with coumarin-6 (C6) as a ﬂuorescence
marker. The particles were characterized for surface morphology, particle size, zeta
potential, and for cellular uptake by 4T1 murine breast cancer cells.
Key ﬁndings Irrespective of the amount of PEG, all formulations yielded smooth
spherical particles. However, a comparison</t>
  </si>
  <si>
    <t>10</t>
  </si>
  <si>
    <t>stirring</t>
  </si>
  <si>
    <t>11376</t>
  </si>
  <si>
    <t>11984</t>
  </si>
  <si>
    <t>or. Factors that have marked
effects on the EE of microspheres were identified, including the concentration of PVA (2–8%),
PLGA concentration (100–400 mgmL-1), and theoretical drug loading (1–12%). Other vari-
ables investigated in the preliminary experiments were the oil/water ratio (1:4–1:9) and stirring
speed (200–1000 rpm).
Following the preliminary experiments, critical factors (PVA concentration, PLGA concen-
tration, and theoretical drug loading) were selected to obtain the optimum formulation by a
response surface methodology (RSM) using central composite design (CCD). The coded val-
ues of t</t>
  </si>
  <si>
    <t>A_stability_3M_30C_65RH</t>
  </si>
  <si>
    <t>la_ga_ratio</t>
  </si>
  <si>
    <t>50:50</t>
  </si>
  <si>
    <t>5320</t>
  </si>
  <si>
    <t>5925</t>
  </si>
  <si>
    <t>ize PLGA
nanoparticles containing GPZ to achieve a sustained release proﬁle
suitable for per oral administration with enhanced efﬁcacy and
which could overcome the drawbacks of GPZ delivery through
conventional dosage forms.
2. Materials and methods
2.1. Materials
Poly(lactic-co-glycolic)acid (PLGA 50:50) (Mw = 18,000 D) and
glipizide were procured as gift sample from SPARK Laboratory,
India.
Polysorbate-80,
dichloromethane
and
methanol
were
purchased from Sigma–Aldrich and poly-vinyl alcohol (PVA) from
SD Fine Chemicals. All other chemicals and solvents were of
analytical grade. Triple distilled w</t>
  </si>
  <si>
    <t>accept_extracted: evidence_span_text clearly supports extracted_value.</t>
  </si>
  <si>
    <t>reject_extracted: evidence_span_text clearly does not support extracted_value, or extracted_value is over-inferred.</t>
  </si>
  <si>
    <t>unclear: evidence_span_text is insufficient to confirm or refute extracted_value.</t>
  </si>
  <si>
    <t>reject_extracted</t>
  </si>
  <si>
    <t>unclear</t>
  </si>
  <si>
    <t xml:space="preserve"> stirring</t>
  </si>
  <si>
    <t>Double emulsion</t>
  </si>
  <si>
    <t>Numeric table values present; column header not included in evidence span; cannot confirm 52.8 corresponds to EE.</t>
  </si>
  <si>
    <t>accept_extracted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</si>
</sst>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wrapText="1"/>
    </xf>
  </cellXfs>
  <cellStyles count="1">
    <cellStyle name="Normal" xfId="0" builtinId="0"/>
  </cellStyles>
  <dxfs count="1">
    <dxf>
      <fill>
        <patternFill patternType="solid">
          <fgColor rgb="FFFFF2CC"/>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9"/>
  <sheetViews>
    <sheetView tabSelected="1" workbookViewId="0">
      <pane ySplit="1" topLeftCell="A22" activePane="bottomLeft" state="frozen"/>
      <selection pane="bottomLeft" activeCell="N11" sqref="N11"/>
    </sheetView>
  </sheetViews>
  <sheetFormatPr defaultRowHeight="14.25" x14ac:dyDescent="0.45"/>
  <cols>
    <col min="1" max="1" width="6.9296875" customWidth="1"/>
    <col min="2" max="2" width="7.33203125" customWidth="1"/>
    <col min="3" max="3" width="6.3984375" customWidth="1"/>
    <col min="4" max="4" width="21.46484375" customWidth="1"/>
    <col min="5" max="5" width="20.3984375" customWidth="1"/>
    <col min="6" max="6" width="5.59765625" customWidth="1"/>
    <col min="7" max="7" width="5.33203125" customWidth="1"/>
    <col min="8" max="8" width="11.46484375" customWidth="1"/>
    <col min="9" max="9" width="6.9296875" customWidth="1"/>
    <col min="10" max="10" width="7.06640625" customWidth="1"/>
    <col min="11" max="11" width="11.33203125" customWidth="1"/>
    <col min="12" max="13" width="10" customWidth="1"/>
    <col min="14" max="14" width="90" customWidth="1"/>
    <col min="15" max="15" width="20" customWidth="1"/>
    <col min="16" max="16" width="24" customWidth="1"/>
    <col min="17" max="17" width="32" customWidth="1"/>
  </cols>
  <sheetData>
    <row r="1" spans="1:1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71.25" x14ac:dyDescent="0.45">
      <c r="A2" t="s">
        <v>17</v>
      </c>
      <c r="B2" t="s">
        <v>18</v>
      </c>
      <c r="C2" t="s">
        <v>19</v>
      </c>
      <c r="D2" t="s">
        <v>20</v>
      </c>
      <c r="E2" t="s">
        <v>21</v>
      </c>
      <c r="F2" t="s">
        <v>22</v>
      </c>
      <c r="G2" t="s">
        <v>23</v>
      </c>
      <c r="H2" t="s">
        <v>24</v>
      </c>
      <c r="J2" t="s">
        <v>25</v>
      </c>
      <c r="K2" t="s">
        <v>26</v>
      </c>
      <c r="L2" t="s">
        <v>27</v>
      </c>
      <c r="M2" t="s">
        <v>28</v>
      </c>
      <c r="N2" s="1" t="s">
        <v>29</v>
      </c>
      <c r="O2" t="s">
        <v>158</v>
      </c>
    </row>
    <row r="3" spans="1:17" ht="71.25" x14ac:dyDescent="0.45">
      <c r="A3" t="s">
        <v>17</v>
      </c>
      <c r="B3" t="s">
        <v>30</v>
      </c>
      <c r="C3" t="s">
        <v>31</v>
      </c>
      <c r="D3" t="s">
        <v>32</v>
      </c>
      <c r="E3" t="s">
        <v>33</v>
      </c>
      <c r="F3" t="s">
        <v>22</v>
      </c>
      <c r="G3" t="s">
        <v>23</v>
      </c>
      <c r="H3" t="s">
        <v>24</v>
      </c>
      <c r="J3" t="s">
        <v>34</v>
      </c>
      <c r="K3" t="s">
        <v>26</v>
      </c>
      <c r="L3" t="s">
        <v>35</v>
      </c>
      <c r="M3" t="s">
        <v>36</v>
      </c>
      <c r="N3" s="1" t="s">
        <v>37</v>
      </c>
      <c r="O3" t="s">
        <v>158</v>
      </c>
    </row>
    <row r="4" spans="1:17" ht="85.5" x14ac:dyDescent="0.45">
      <c r="A4" t="s">
        <v>17</v>
      </c>
      <c r="B4" t="s">
        <v>38</v>
      </c>
      <c r="C4" t="s">
        <v>39</v>
      </c>
      <c r="D4" t="s">
        <v>32</v>
      </c>
      <c r="E4" t="s">
        <v>40</v>
      </c>
      <c r="F4" t="s">
        <v>22</v>
      </c>
      <c r="G4" t="s">
        <v>23</v>
      </c>
      <c r="H4" t="s">
        <v>24</v>
      </c>
      <c r="J4" t="s">
        <v>41</v>
      </c>
      <c r="K4" t="s">
        <v>26</v>
      </c>
      <c r="L4" t="s">
        <v>42</v>
      </c>
      <c r="M4" t="s">
        <v>43</v>
      </c>
      <c r="N4" s="1" t="s">
        <v>44</v>
      </c>
      <c r="O4" t="s">
        <v>158</v>
      </c>
    </row>
    <row r="5" spans="1:17" ht="142.5" x14ac:dyDescent="0.45">
      <c r="A5" t="s">
        <v>17</v>
      </c>
      <c r="B5" t="s">
        <v>45</v>
      </c>
      <c r="C5" t="s">
        <v>46</v>
      </c>
      <c r="D5" t="s">
        <v>47</v>
      </c>
      <c r="E5" t="s">
        <v>48</v>
      </c>
      <c r="F5" t="s">
        <v>22</v>
      </c>
      <c r="G5" t="s">
        <v>23</v>
      </c>
      <c r="H5" t="s">
        <v>24</v>
      </c>
      <c r="J5" t="s">
        <v>49</v>
      </c>
      <c r="K5" t="s">
        <v>50</v>
      </c>
      <c r="L5" t="s">
        <v>51</v>
      </c>
      <c r="M5" t="s">
        <v>52</v>
      </c>
      <c r="N5" s="1" t="s">
        <v>53</v>
      </c>
      <c r="O5" t="s">
        <v>158</v>
      </c>
      <c r="P5">
        <v>61.2</v>
      </c>
    </row>
    <row r="6" spans="1:17" ht="409.5" x14ac:dyDescent="0.45">
      <c r="A6" t="s">
        <v>17</v>
      </c>
      <c r="B6" t="s">
        <v>54</v>
      </c>
      <c r="C6" t="s">
        <v>55</v>
      </c>
      <c r="D6" t="s">
        <v>56</v>
      </c>
      <c r="E6" t="s">
        <v>57</v>
      </c>
      <c r="F6" t="s">
        <v>22</v>
      </c>
      <c r="G6" t="s">
        <v>23</v>
      </c>
      <c r="H6" t="s">
        <v>24</v>
      </c>
      <c r="J6" t="s">
        <v>58</v>
      </c>
      <c r="K6" t="s">
        <v>50</v>
      </c>
      <c r="L6" t="s">
        <v>59</v>
      </c>
      <c r="M6" t="s">
        <v>60</v>
      </c>
      <c r="N6" s="1" t="s">
        <v>61</v>
      </c>
      <c r="O6" t="s">
        <v>158</v>
      </c>
      <c r="P6">
        <v>200</v>
      </c>
    </row>
    <row r="7" spans="1:17" ht="99.75" x14ac:dyDescent="0.45">
      <c r="A7" t="s">
        <v>17</v>
      </c>
      <c r="B7" t="s">
        <v>62</v>
      </c>
      <c r="C7" t="s">
        <v>63</v>
      </c>
      <c r="D7" t="s">
        <v>20</v>
      </c>
      <c r="E7" t="s">
        <v>64</v>
      </c>
      <c r="F7" t="s">
        <v>22</v>
      </c>
      <c r="G7" t="s">
        <v>23</v>
      </c>
      <c r="H7" t="s">
        <v>65</v>
      </c>
      <c r="J7" t="s">
        <v>66</v>
      </c>
      <c r="K7" t="s">
        <v>26</v>
      </c>
      <c r="L7" t="s">
        <v>67</v>
      </c>
      <c r="M7" t="s">
        <v>68</v>
      </c>
      <c r="N7" s="1" t="s">
        <v>69</v>
      </c>
      <c r="O7" t="s">
        <v>159</v>
      </c>
    </row>
    <row r="8" spans="1:17" ht="213.75" x14ac:dyDescent="0.45">
      <c r="A8" t="s">
        <v>17</v>
      </c>
      <c r="B8" t="s">
        <v>70</v>
      </c>
      <c r="C8" t="s">
        <v>71</v>
      </c>
      <c r="D8" t="s">
        <v>20</v>
      </c>
      <c r="E8" t="s">
        <v>72</v>
      </c>
      <c r="F8" t="s">
        <v>22</v>
      </c>
      <c r="G8" t="s">
        <v>23</v>
      </c>
      <c r="H8" t="s">
        <v>65</v>
      </c>
      <c r="J8" t="s">
        <v>73</v>
      </c>
      <c r="K8" t="s">
        <v>26</v>
      </c>
      <c r="L8" t="s">
        <v>74</v>
      </c>
      <c r="M8" t="s">
        <v>75</v>
      </c>
      <c r="N8" s="1" t="s">
        <v>76</v>
      </c>
      <c r="O8" t="s">
        <v>158</v>
      </c>
    </row>
    <row r="9" spans="1:17" ht="71.25" x14ac:dyDescent="0.45">
      <c r="A9" t="s">
        <v>17</v>
      </c>
      <c r="B9" t="s">
        <v>18</v>
      </c>
      <c r="C9" t="s">
        <v>77</v>
      </c>
      <c r="D9" t="s">
        <v>32</v>
      </c>
      <c r="E9" t="s">
        <v>78</v>
      </c>
      <c r="F9" t="s">
        <v>22</v>
      </c>
      <c r="G9" t="s">
        <v>23</v>
      </c>
      <c r="H9" t="s">
        <v>65</v>
      </c>
      <c r="J9" t="s">
        <v>25</v>
      </c>
      <c r="K9" t="s">
        <v>26</v>
      </c>
      <c r="L9" t="s">
        <v>27</v>
      </c>
      <c r="M9" t="s">
        <v>28</v>
      </c>
      <c r="N9" s="1" t="s">
        <v>29</v>
      </c>
      <c r="O9" t="s">
        <v>158</v>
      </c>
      <c r="P9" t="s">
        <v>160</v>
      </c>
    </row>
    <row r="10" spans="1:17" ht="71.25" x14ac:dyDescent="0.45">
      <c r="A10" t="s">
        <v>17</v>
      </c>
      <c r="B10" t="s">
        <v>18</v>
      </c>
      <c r="C10" t="s">
        <v>79</v>
      </c>
      <c r="D10" t="s">
        <v>32</v>
      </c>
      <c r="E10" t="s">
        <v>78</v>
      </c>
      <c r="F10" t="s">
        <v>22</v>
      </c>
      <c r="G10" t="s">
        <v>23</v>
      </c>
      <c r="H10" t="s">
        <v>65</v>
      </c>
      <c r="J10" t="s">
        <v>25</v>
      </c>
      <c r="K10" t="s">
        <v>26</v>
      </c>
      <c r="L10" t="s">
        <v>27</v>
      </c>
      <c r="M10" t="s">
        <v>28</v>
      </c>
      <c r="N10" s="1" t="s">
        <v>29</v>
      </c>
      <c r="O10" t="s">
        <v>158</v>
      </c>
      <c r="P10" t="s">
        <v>160</v>
      </c>
    </row>
    <row r="11" spans="1:17" ht="71.25" x14ac:dyDescent="0.45">
      <c r="A11" t="s">
        <v>17</v>
      </c>
      <c r="B11" t="s">
        <v>18</v>
      </c>
      <c r="C11" t="s">
        <v>80</v>
      </c>
      <c r="D11" t="s">
        <v>32</v>
      </c>
      <c r="E11" t="s">
        <v>78</v>
      </c>
      <c r="F11" t="s">
        <v>22</v>
      </c>
      <c r="G11" t="s">
        <v>23</v>
      </c>
      <c r="H11" t="s">
        <v>65</v>
      </c>
      <c r="J11" t="s">
        <v>25</v>
      </c>
      <c r="K11" t="s">
        <v>26</v>
      </c>
      <c r="L11" t="s">
        <v>27</v>
      </c>
      <c r="M11" t="s">
        <v>28</v>
      </c>
      <c r="N11" s="1" t="s">
        <v>29</v>
      </c>
      <c r="O11" t="s">
        <v>158</v>
      </c>
      <c r="P11" t="s">
        <v>160</v>
      </c>
    </row>
    <row r="12" spans="1:17" ht="213.75" x14ac:dyDescent="0.45">
      <c r="A12" t="s">
        <v>17</v>
      </c>
      <c r="B12" t="s">
        <v>70</v>
      </c>
      <c r="C12" t="s">
        <v>81</v>
      </c>
      <c r="D12" t="s">
        <v>82</v>
      </c>
      <c r="E12" t="s">
        <v>83</v>
      </c>
      <c r="F12" t="s">
        <v>22</v>
      </c>
      <c r="G12" t="s">
        <v>23</v>
      </c>
      <c r="H12" t="s">
        <v>65</v>
      </c>
      <c r="J12" t="s">
        <v>73</v>
      </c>
      <c r="K12" t="s">
        <v>26</v>
      </c>
      <c r="L12" t="s">
        <v>74</v>
      </c>
      <c r="M12" t="s">
        <v>75</v>
      </c>
      <c r="N12" s="1" t="s">
        <v>76</v>
      </c>
      <c r="O12" t="s">
        <v>158</v>
      </c>
      <c r="P12" t="s">
        <v>161</v>
      </c>
    </row>
    <row r="13" spans="1:17" ht="213.75" x14ac:dyDescent="0.45">
      <c r="A13" t="s">
        <v>17</v>
      </c>
      <c r="B13" t="s">
        <v>70</v>
      </c>
      <c r="C13" t="s">
        <v>84</v>
      </c>
      <c r="D13" t="s">
        <v>82</v>
      </c>
      <c r="E13" t="s">
        <v>83</v>
      </c>
      <c r="F13" t="s">
        <v>22</v>
      </c>
      <c r="G13" t="s">
        <v>23</v>
      </c>
      <c r="H13" t="s">
        <v>65</v>
      </c>
      <c r="J13" t="s">
        <v>73</v>
      </c>
      <c r="K13" t="s">
        <v>26</v>
      </c>
      <c r="L13" t="s">
        <v>74</v>
      </c>
      <c r="M13" t="s">
        <v>75</v>
      </c>
      <c r="N13" s="1" t="s">
        <v>76</v>
      </c>
      <c r="O13" t="s">
        <v>158</v>
      </c>
      <c r="P13" t="s">
        <v>161</v>
      </c>
    </row>
    <row r="14" spans="1:17" ht="213.75" x14ac:dyDescent="0.45">
      <c r="A14" t="s">
        <v>17</v>
      </c>
      <c r="B14" t="s">
        <v>70</v>
      </c>
      <c r="C14" t="s">
        <v>85</v>
      </c>
      <c r="D14" t="s">
        <v>82</v>
      </c>
      <c r="E14" t="s">
        <v>83</v>
      </c>
      <c r="F14" t="s">
        <v>22</v>
      </c>
      <c r="G14" t="s">
        <v>23</v>
      </c>
      <c r="H14" t="s">
        <v>65</v>
      </c>
      <c r="J14" t="s">
        <v>73</v>
      </c>
      <c r="K14" t="s">
        <v>26</v>
      </c>
      <c r="L14" t="s">
        <v>74</v>
      </c>
      <c r="M14" t="s">
        <v>75</v>
      </c>
      <c r="N14" s="1" t="s">
        <v>76</v>
      </c>
      <c r="O14" t="s">
        <v>158</v>
      </c>
      <c r="P14" t="s">
        <v>161</v>
      </c>
    </row>
    <row r="15" spans="1:17" ht="185.25" x14ac:dyDescent="0.45">
      <c r="A15" t="s">
        <v>17</v>
      </c>
      <c r="B15" t="s">
        <v>86</v>
      </c>
      <c r="C15" t="s">
        <v>87</v>
      </c>
      <c r="D15" t="s">
        <v>47</v>
      </c>
      <c r="E15" t="s">
        <v>88</v>
      </c>
      <c r="F15" t="s">
        <v>22</v>
      </c>
      <c r="G15" t="s">
        <v>23</v>
      </c>
      <c r="H15" t="s">
        <v>65</v>
      </c>
      <c r="J15" t="s">
        <v>89</v>
      </c>
      <c r="K15" t="s">
        <v>50</v>
      </c>
      <c r="L15" t="s">
        <v>90</v>
      </c>
      <c r="M15" t="s">
        <v>91</v>
      </c>
      <c r="N15" s="1" t="s">
        <v>92</v>
      </c>
      <c r="O15" t="s">
        <v>158</v>
      </c>
    </row>
    <row r="16" spans="1:17" ht="409.5" x14ac:dyDescent="0.45">
      <c r="A16" t="s">
        <v>17</v>
      </c>
      <c r="B16" t="s">
        <v>45</v>
      </c>
      <c r="C16" t="s">
        <v>93</v>
      </c>
      <c r="D16" t="s">
        <v>47</v>
      </c>
      <c r="E16" t="s">
        <v>94</v>
      </c>
      <c r="F16" t="s">
        <v>22</v>
      </c>
      <c r="G16" t="s">
        <v>23</v>
      </c>
      <c r="H16" t="s">
        <v>65</v>
      </c>
      <c r="J16" t="s">
        <v>49</v>
      </c>
      <c r="K16" t="s">
        <v>50</v>
      </c>
      <c r="L16" t="s">
        <v>95</v>
      </c>
      <c r="M16" t="s">
        <v>96</v>
      </c>
      <c r="N16" s="1" t="s">
        <v>97</v>
      </c>
      <c r="O16" t="s">
        <v>159</v>
      </c>
      <c r="Q16" t="s">
        <v>162</v>
      </c>
    </row>
    <row r="17" spans="1:15" ht="356.25" x14ac:dyDescent="0.45">
      <c r="A17" t="s">
        <v>17</v>
      </c>
      <c r="B17" t="s">
        <v>98</v>
      </c>
      <c r="C17" t="s">
        <v>31</v>
      </c>
      <c r="D17" t="s">
        <v>99</v>
      </c>
      <c r="E17" t="s">
        <v>100</v>
      </c>
      <c r="F17" t="s">
        <v>22</v>
      </c>
      <c r="G17" t="s">
        <v>23</v>
      </c>
      <c r="H17" t="s">
        <v>65</v>
      </c>
      <c r="J17" t="s">
        <v>101</v>
      </c>
      <c r="K17" t="s">
        <v>50</v>
      </c>
      <c r="L17" t="s">
        <v>102</v>
      </c>
      <c r="M17" t="s">
        <v>103</v>
      </c>
      <c r="N17" s="1" t="s">
        <v>104</v>
      </c>
      <c r="O17" t="s">
        <v>158</v>
      </c>
    </row>
    <row r="18" spans="1:15" ht="156.75" x14ac:dyDescent="0.45">
      <c r="A18" t="s">
        <v>17</v>
      </c>
      <c r="B18" t="s">
        <v>70</v>
      </c>
      <c r="C18" t="s">
        <v>105</v>
      </c>
      <c r="D18" t="s">
        <v>99</v>
      </c>
      <c r="E18" t="s">
        <v>106</v>
      </c>
      <c r="F18" t="s">
        <v>22</v>
      </c>
      <c r="G18" t="s">
        <v>23</v>
      </c>
      <c r="H18" t="s">
        <v>65</v>
      </c>
      <c r="J18" t="s">
        <v>73</v>
      </c>
      <c r="K18" t="s">
        <v>50</v>
      </c>
      <c r="L18" t="s">
        <v>107</v>
      </c>
      <c r="M18" t="s">
        <v>108</v>
      </c>
      <c r="N18" s="1" t="s">
        <v>109</v>
      </c>
      <c r="O18" t="s">
        <v>158</v>
      </c>
    </row>
    <row r="19" spans="1:15" ht="128.25" x14ac:dyDescent="0.45">
      <c r="A19" t="s">
        <v>17</v>
      </c>
      <c r="B19" t="s">
        <v>62</v>
      </c>
      <c r="C19" t="s">
        <v>110</v>
      </c>
      <c r="D19" t="s">
        <v>111</v>
      </c>
      <c r="E19" t="s">
        <v>110</v>
      </c>
      <c r="F19" t="s">
        <v>22</v>
      </c>
      <c r="G19" t="s">
        <v>23</v>
      </c>
      <c r="H19" t="s">
        <v>65</v>
      </c>
      <c r="J19" t="s">
        <v>66</v>
      </c>
      <c r="K19" t="s">
        <v>50</v>
      </c>
      <c r="L19" t="s">
        <v>112</v>
      </c>
      <c r="M19" t="s">
        <v>113</v>
      </c>
      <c r="N19" s="1" t="s">
        <v>114</v>
      </c>
      <c r="O19" t="s">
        <v>158</v>
      </c>
    </row>
    <row r="20" spans="1:15" ht="128.25" x14ac:dyDescent="0.45">
      <c r="A20" t="s">
        <v>17</v>
      </c>
      <c r="B20" t="s">
        <v>62</v>
      </c>
      <c r="C20" t="s">
        <v>115</v>
      </c>
      <c r="D20" t="s">
        <v>111</v>
      </c>
      <c r="E20" t="s">
        <v>110</v>
      </c>
      <c r="F20" t="s">
        <v>22</v>
      </c>
      <c r="G20" t="s">
        <v>23</v>
      </c>
      <c r="H20" t="s">
        <v>65</v>
      </c>
      <c r="J20" t="s">
        <v>66</v>
      </c>
      <c r="K20" t="s">
        <v>50</v>
      </c>
      <c r="L20" t="s">
        <v>112</v>
      </c>
      <c r="M20" t="s">
        <v>113</v>
      </c>
      <c r="N20" s="1" t="s">
        <v>114</v>
      </c>
      <c r="O20" t="s">
        <v>158</v>
      </c>
    </row>
    <row r="21" spans="1:15" ht="185.25" x14ac:dyDescent="0.45">
      <c r="A21" t="s">
        <v>17</v>
      </c>
      <c r="B21" t="s">
        <v>18</v>
      </c>
      <c r="C21" t="s">
        <v>19</v>
      </c>
      <c r="D21" t="s">
        <v>111</v>
      </c>
      <c r="E21" t="s">
        <v>116</v>
      </c>
      <c r="F21" t="s">
        <v>22</v>
      </c>
      <c r="G21" t="s">
        <v>23</v>
      </c>
      <c r="H21" t="s">
        <v>65</v>
      </c>
      <c r="J21" t="s">
        <v>25</v>
      </c>
      <c r="K21" t="s">
        <v>50</v>
      </c>
      <c r="L21" t="s">
        <v>117</v>
      </c>
      <c r="M21" t="s">
        <v>118</v>
      </c>
      <c r="N21" s="1" t="s">
        <v>119</v>
      </c>
      <c r="O21" t="s">
        <v>158</v>
      </c>
    </row>
    <row r="22" spans="1:15" ht="213.75" x14ac:dyDescent="0.45">
      <c r="A22" t="s">
        <v>17</v>
      </c>
      <c r="B22" t="s">
        <v>70</v>
      </c>
      <c r="C22" t="s">
        <v>84</v>
      </c>
      <c r="D22" t="s">
        <v>120</v>
      </c>
      <c r="E22" t="s">
        <v>121</v>
      </c>
      <c r="F22" t="s">
        <v>22</v>
      </c>
      <c r="G22" t="s">
        <v>23</v>
      </c>
      <c r="H22" t="s">
        <v>65</v>
      </c>
      <c r="I22" t="s">
        <v>122</v>
      </c>
      <c r="J22" t="s">
        <v>73</v>
      </c>
      <c r="K22" t="s">
        <v>26</v>
      </c>
      <c r="L22" t="s">
        <v>74</v>
      </c>
      <c r="M22" t="s">
        <v>75</v>
      </c>
      <c r="N22" s="1" t="s">
        <v>76</v>
      </c>
      <c r="O22" t="s">
        <v>158</v>
      </c>
    </row>
    <row r="23" spans="1:15" ht="213.75" x14ac:dyDescent="0.45">
      <c r="A23" t="s">
        <v>17</v>
      </c>
      <c r="B23" t="s">
        <v>70</v>
      </c>
      <c r="C23" t="s">
        <v>123</v>
      </c>
      <c r="D23" t="s">
        <v>120</v>
      </c>
      <c r="E23" t="s">
        <v>124</v>
      </c>
      <c r="F23" t="s">
        <v>22</v>
      </c>
      <c r="G23" t="s">
        <v>23</v>
      </c>
      <c r="H23" t="s">
        <v>65</v>
      </c>
      <c r="I23" t="s">
        <v>122</v>
      </c>
      <c r="J23" t="s">
        <v>73</v>
      </c>
      <c r="K23" t="s">
        <v>26</v>
      </c>
      <c r="L23" t="s">
        <v>74</v>
      </c>
      <c r="M23" t="s">
        <v>75</v>
      </c>
      <c r="N23" s="1" t="s">
        <v>76</v>
      </c>
      <c r="O23" t="s">
        <v>158</v>
      </c>
    </row>
    <row r="24" spans="1:15" ht="142.5" x14ac:dyDescent="0.45">
      <c r="A24" t="s">
        <v>17</v>
      </c>
      <c r="B24" t="s">
        <v>45</v>
      </c>
      <c r="C24" t="s">
        <v>125</v>
      </c>
      <c r="D24" t="s">
        <v>120</v>
      </c>
      <c r="E24" t="s">
        <v>126</v>
      </c>
      <c r="F24" t="s">
        <v>22</v>
      </c>
      <c r="G24" t="s">
        <v>23</v>
      </c>
      <c r="H24" t="s">
        <v>65</v>
      </c>
      <c r="I24" t="s">
        <v>122</v>
      </c>
      <c r="J24" t="s">
        <v>49</v>
      </c>
      <c r="K24" t="s">
        <v>26</v>
      </c>
      <c r="L24" t="s">
        <v>127</v>
      </c>
      <c r="M24" t="s">
        <v>128</v>
      </c>
      <c r="N24" s="1" t="s">
        <v>129</v>
      </c>
      <c r="O24" t="s">
        <v>158</v>
      </c>
    </row>
    <row r="25" spans="1:15" ht="114" x14ac:dyDescent="0.45">
      <c r="A25" t="s">
        <v>17</v>
      </c>
      <c r="B25" t="s">
        <v>54</v>
      </c>
      <c r="C25" t="s">
        <v>130</v>
      </c>
      <c r="D25" t="s">
        <v>131</v>
      </c>
      <c r="E25" t="s">
        <v>132</v>
      </c>
      <c r="F25" t="s">
        <v>22</v>
      </c>
      <c r="G25" t="s">
        <v>23</v>
      </c>
      <c r="H25" t="s">
        <v>65</v>
      </c>
      <c r="J25" t="s">
        <v>58</v>
      </c>
      <c r="K25" t="s">
        <v>50</v>
      </c>
      <c r="L25" t="s">
        <v>133</v>
      </c>
      <c r="M25" t="s">
        <v>134</v>
      </c>
      <c r="N25" s="1" t="s">
        <v>135</v>
      </c>
      <c r="O25" t="s">
        <v>158</v>
      </c>
    </row>
    <row r="26" spans="1:15" ht="71.25" x14ac:dyDescent="0.45">
      <c r="A26" t="s">
        <v>17</v>
      </c>
      <c r="B26" t="s">
        <v>18</v>
      </c>
      <c r="C26" t="s">
        <v>136</v>
      </c>
      <c r="D26" t="s">
        <v>131</v>
      </c>
      <c r="E26" t="s">
        <v>137</v>
      </c>
      <c r="F26" t="s">
        <v>22</v>
      </c>
      <c r="G26" t="s">
        <v>23</v>
      </c>
      <c r="H26" t="s">
        <v>65</v>
      </c>
      <c r="I26" t="s">
        <v>122</v>
      </c>
      <c r="J26" t="s">
        <v>25</v>
      </c>
      <c r="K26" t="s">
        <v>26</v>
      </c>
      <c r="L26" t="s">
        <v>27</v>
      </c>
      <c r="M26" t="s">
        <v>28</v>
      </c>
      <c r="N26" s="1" t="s">
        <v>29</v>
      </c>
      <c r="O26" t="s">
        <v>159</v>
      </c>
    </row>
    <row r="27" spans="1:15" ht="128.25" x14ac:dyDescent="0.45">
      <c r="A27" t="s">
        <v>17</v>
      </c>
      <c r="B27" t="s">
        <v>38</v>
      </c>
      <c r="C27" t="s">
        <v>39</v>
      </c>
      <c r="D27" t="s">
        <v>138</v>
      </c>
      <c r="E27" t="s">
        <v>139</v>
      </c>
      <c r="F27" t="s">
        <v>22</v>
      </c>
      <c r="G27" t="s">
        <v>23</v>
      </c>
      <c r="H27" t="s">
        <v>140</v>
      </c>
      <c r="J27" t="s">
        <v>41</v>
      </c>
      <c r="K27" t="s">
        <v>50</v>
      </c>
      <c r="L27" t="s">
        <v>141</v>
      </c>
      <c r="M27" t="s">
        <v>142</v>
      </c>
      <c r="N27" s="1" t="s">
        <v>143</v>
      </c>
      <c r="O27" t="s">
        <v>163</v>
      </c>
    </row>
    <row r="28" spans="1:15" ht="128.25" x14ac:dyDescent="0.45">
      <c r="A28" t="s">
        <v>17</v>
      </c>
      <c r="B28" t="s">
        <v>62</v>
      </c>
      <c r="C28" t="s">
        <v>144</v>
      </c>
      <c r="D28" t="s">
        <v>32</v>
      </c>
      <c r="E28" t="s">
        <v>145</v>
      </c>
      <c r="F28" t="s">
        <v>22</v>
      </c>
      <c r="G28" t="s">
        <v>23</v>
      </c>
      <c r="H28" t="s">
        <v>140</v>
      </c>
      <c r="J28" t="s">
        <v>66</v>
      </c>
      <c r="K28" t="s">
        <v>50</v>
      </c>
      <c r="L28" t="s">
        <v>146</v>
      </c>
      <c r="M28" t="s">
        <v>147</v>
      </c>
      <c r="N28" s="1" t="s">
        <v>148</v>
      </c>
      <c r="O28" t="s">
        <v>163</v>
      </c>
    </row>
    <row r="29" spans="1:15" ht="256.5" x14ac:dyDescent="0.45">
      <c r="A29" t="s">
        <v>17</v>
      </c>
      <c r="B29" t="s">
        <v>18</v>
      </c>
      <c r="C29" t="s">
        <v>149</v>
      </c>
      <c r="D29" t="s">
        <v>150</v>
      </c>
      <c r="E29" t="s">
        <v>151</v>
      </c>
      <c r="F29" t="s">
        <v>22</v>
      </c>
      <c r="G29" t="s">
        <v>23</v>
      </c>
      <c r="H29" t="s">
        <v>140</v>
      </c>
      <c r="J29" t="s">
        <v>25</v>
      </c>
      <c r="K29" t="s">
        <v>50</v>
      </c>
      <c r="L29" t="s">
        <v>152</v>
      </c>
      <c r="M29" t="s">
        <v>153</v>
      </c>
      <c r="N29" s="1" t="s">
        <v>154</v>
      </c>
      <c r="O29" t="s">
        <v>163</v>
      </c>
    </row>
  </sheetData>
  <conditionalFormatting sqref="A2:Q29">
    <cfRule type="expression" dxfId="0" priority="1">
      <formula>LEN(TRIM($O2))=0</formula>
    </cfRule>
  </conditionalFormatting>
  <dataValidations count="1">
    <dataValidation type="list" allowBlank="1" sqref="O2:O29" xr:uid="{00000000-0002-0000-0000-000000000000}">
      <formula1>"accept_extracted,reject_extracted,unclear"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RowHeight="14.25" x14ac:dyDescent="0.45"/>
  <cols>
    <col min="1" max="1" width="130" customWidth="1"/>
  </cols>
  <sheetData>
    <row r="1" spans="1:1" x14ac:dyDescent="0.45">
      <c r="A1" s="2" t="s">
        <v>155</v>
      </c>
    </row>
    <row r="2" spans="1:1" x14ac:dyDescent="0.45">
      <c r="A2" s="2" t="s">
        <v>156</v>
      </c>
    </row>
    <row r="3" spans="1:1" x14ac:dyDescent="0.45">
      <c r="A3" s="2" t="s">
        <v>157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audit</vt:lpstr>
      <vt:lpstr>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Tiancong Ma</cp:lastModifiedBy>
  <dcterms:created xsi:type="dcterms:W3CDTF">2026-02-18T20:17:13Z</dcterms:created>
  <dcterms:modified xsi:type="dcterms:W3CDTF">2026-02-18T20:48:47Z</dcterms:modified>
</cp:coreProperties>
</file>